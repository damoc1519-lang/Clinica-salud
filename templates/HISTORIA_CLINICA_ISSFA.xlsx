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C" sheetId="1" state="visible" r:id="rId3"/>
    <sheet name="INTER007" sheetId="2" state="visible" r:id="rId4"/>
    <sheet name="REF053" sheetId="3" state="visible" r:id="rId5"/>
    <sheet name="LAB010" sheetId="4" state="visible" r:id="rId6"/>
    <sheet name="IMA012" sheetId="5" state="visible" r:id="rId7"/>
    <sheet name="RECETA" sheetId="6" state="visible" r:id="rId8"/>
  </sheets>
  <externalReferences>
    <externalReference r:id="rId9"/>
  </externalReferences>
  <definedNames>
    <definedName function="false" hidden="false" localSheetId="0" name="_xlnm.Print_Area" vbProcedure="false">HC!$A$1:$BL$76</definedName>
    <definedName function="false" hidden="false" name="ANTECEDENTES_PERSONALES" vbProcedure="false">'[1]'!$B$44</definedName>
    <definedName function="false" hidden="false" name="ANT_PERS" vbProcedure="false">'[1]'!$B$44</definedName>
    <definedName function="false" hidden="false" name="GESTA" vbProcedure="false">'[1]'!$AK$41</definedName>
    <definedName function="false" hidden="false" name="PARTOS" vbProcedure="false">'[1]'!$AQ$41</definedName>
    <definedName function="false" hidden="false" name="_xlfn_SINGLE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F17" authorId="0">
      <text>
        <r>
          <rPr>
            <b val="true"/>
            <sz val="9"/>
            <color rgb="FF000000"/>
            <rFont val="Tahoma"/>
            <family val="2"/>
          </rPr>
          <t xml:space="preserve">HP:
</t>
        </r>
        <r>
          <rPr>
            <sz val="9"/>
            <color rgb="FF000000"/>
            <rFont val="Tahoma"/>
            <family val="2"/>
          </rPr>
          <t xml:space="preserve">ESCRIBIR LA ESPECIALIDA A QUE DERIVA EJ. IMAGENOLOGIA / LABORATORIO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80</xdr:col>
                <xdr:colOff>3</xdr:colOff>
                <xdr:row>15</xdr:row>
                <xdr:rowOff>11</xdr:rowOff>
              </xdr:from>
              <xdr:to>
                <xdr:col>92</xdr:col>
                <xdr:colOff>5</xdr:colOff>
                <xdr:row>19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<sst xmlns="http://schemas.openxmlformats.org/spreadsheetml/2006/main" count="770" uniqueCount="539">
  <si>
    <t xml:space="preserve">A. DATOS DEL ESTABLECIMIENTO Y USARIO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</si>
  <si>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</si>
  <si>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</si>
  <si>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</si>
  <si>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</si>
  <si>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FECHA DE NACIMIENTO</t>
  </si>
  <si>
    <t xml:space="preserve">No. HOJA</t>
  </si>
  <si>
    <t xml:space="preserve">RPC</t>
  </si>
  <si>
    <t xml:space="preserve">MEDISUPORT / QMC</t>
  </si>
  <si>
    <t xml:space="preserve">1704289899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</si>
  <si>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</si>
  <si>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</si>
  <si>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</si>
  <si>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</si>
  <si>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</si>
  <si>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r>
      <rPr>
        <b val="true"/>
        <sz val="7"/>
        <rFont val="Arial"/>
        <family val="2"/>
      </rPr>
      <t xml:space="preserve">EDAD </t>
    </r>
    <r>
      <rPr>
        <sz val="7"/>
        <rFont val="Arial"/>
        <family val="2"/>
      </rPr>
      <t xml:space="preserve">(Años)</t>
    </r>
  </si>
  <si>
    <t xml:space="preserve">AMENDAÑO</t>
  </si>
  <si>
    <t xml:space="preserve">COLLAGUAZO</t>
  </si>
  <si>
    <t xml:space="preserve">LUZ</t>
  </si>
  <si>
    <t xml:space="preserve">EDELINA</t>
  </si>
  <si>
    <t xml:space="preserve">F</t>
  </si>
  <si>
    <t xml:space="preserve">NUMERO DE TELEFONO Y LUGAR DE RESIDENCIA ACTUAL DEL PACIENTE</t>
  </si>
  <si>
    <t xml:space="preserve">NO. CELULAR</t>
  </si>
  <si>
    <t xml:space="preserve">PROVINCIA</t>
  </si>
  <si>
    <t xml:space="preserve">CANTON</t>
  </si>
  <si>
    <t xml:space="preserve">PARROQUIA</t>
  </si>
  <si>
    <t xml:space="preserve">0994085197</t>
  </si>
  <si>
    <t xml:space="preserve">PICHINCHA</t>
  </si>
  <si>
    <t xml:space="preserve">QUITO</t>
  </si>
  <si>
    <t xml:space="preserve">B. MOTIVO DE CONSULTA</t>
  </si>
  <si>
    <t xml:space="preserve">PRIMERA</t>
  </si>
  <si>
    <t xml:space="preserve">SUBSECUENTE</t>
  </si>
  <si>
    <t xml:space="preserve">C. ANTECEDENTES PATOLÓGICOS PERSONALES</t>
  </si>
  <si>
    <t xml:space="preserve">DATOS CLÍNICO - QUIRÚRGICOS, OBSTÉTRICOS, ALÉRGICOS  RELEVANTES</t>
  </si>
  <si>
    <r>
      <rPr>
        <b val="true"/>
        <sz val="5"/>
        <color rgb="FF000000"/>
        <rFont val="Arial"/>
        <family val="2"/>
      </rPr>
      <t xml:space="preserve">1. </t>
    </r>
    <r>
      <rPr>
        <sz val="5"/>
        <color rgb="FF000000"/>
        <rFont val="Arial"/>
        <family val="2"/>
      </rPr>
      <t xml:space="preserve">CARDIOPATÍA</t>
    </r>
  </si>
  <si>
    <r>
      <rPr>
        <b val="true"/>
        <sz val="5"/>
        <color rgb="FF000000"/>
        <rFont val="Arial"/>
        <family val="2"/>
      </rPr>
      <t xml:space="preserve">2. 
</t>
    </r>
    <r>
      <rPr>
        <sz val="5"/>
        <color rgb="FF000000"/>
        <rFont val="Arial"/>
        <family val="2"/>
      </rPr>
      <t xml:space="preserve">HIPERTENSIÓN</t>
    </r>
  </si>
  <si>
    <r>
      <rPr>
        <b val="true"/>
        <sz val="5"/>
        <color rgb="FF000000"/>
        <rFont val="Arial"/>
        <family val="2"/>
      </rPr>
      <t xml:space="preserve">3. </t>
    </r>
    <r>
      <rPr>
        <sz val="5"/>
        <color rgb="FF000000"/>
        <rFont val="Arial"/>
        <family val="2"/>
      </rPr>
      <t xml:space="preserve">ENF. C. VASCULAR</t>
    </r>
  </si>
  <si>
    <r>
      <rPr>
        <b val="true"/>
        <sz val="5"/>
        <color rgb="FF000000"/>
        <rFont val="Arial"/>
        <family val="2"/>
      </rPr>
      <t xml:space="preserve">4.  </t>
    </r>
    <r>
      <rPr>
        <sz val="5"/>
        <color rgb="FF000000"/>
        <rFont val="Arial"/>
        <family val="2"/>
      </rPr>
      <t xml:space="preserve">ENDÓCRINO METABÓLICO</t>
    </r>
  </si>
  <si>
    <r>
      <rPr>
        <b val="true"/>
        <sz val="5"/>
        <color rgb="FF000000"/>
        <rFont val="Arial"/>
        <family val="2"/>
      </rPr>
      <t xml:space="preserve">5. </t>
    </r>
    <r>
      <rPr>
        <sz val="5"/>
        <color rgb="FF000000"/>
        <rFont val="Arial"/>
        <family val="2"/>
      </rPr>
      <t xml:space="preserve">CÁNCER</t>
    </r>
  </si>
  <si>
    <r>
      <rPr>
        <b val="true"/>
        <u val="single"/>
        <sz val="5"/>
        <color rgb="FF000000"/>
        <rFont val="Arial"/>
        <family val="2"/>
      </rPr>
      <t xml:space="preserve">6. </t>
    </r>
    <r>
      <rPr>
        <u val="single"/>
        <sz val="5"/>
        <color rgb="FF000000"/>
        <rFont val="Arial"/>
        <family val="2"/>
      </rPr>
      <t xml:space="preserve">TUBERCULOSIS</t>
    </r>
  </si>
  <si>
    <r>
      <rPr>
        <b val="true"/>
        <sz val="5"/>
        <color rgb="FF000000"/>
        <rFont val="Arial"/>
        <family val="2"/>
      </rPr>
      <t xml:space="preserve">7.  </t>
    </r>
    <r>
      <rPr>
        <sz val="5"/>
        <color rgb="FF000000"/>
        <rFont val="Arial"/>
        <family val="2"/>
      </rPr>
      <t xml:space="preserve">ENF. MENTAL</t>
    </r>
  </si>
  <si>
    <r>
      <rPr>
        <b val="true"/>
        <sz val="5"/>
        <color rgb="FF000000"/>
        <rFont val="Arial"/>
        <family val="2"/>
      </rPr>
      <t xml:space="preserve">8. </t>
    </r>
    <r>
      <rPr>
        <sz val="5"/>
        <color rgb="FF000000"/>
        <rFont val="Arial"/>
        <family val="2"/>
      </rPr>
      <t xml:space="preserve">ENF. INFECCIOSA</t>
    </r>
  </si>
  <si>
    <r>
      <rPr>
        <b val="true"/>
        <sz val="5"/>
        <color rgb="FF000000"/>
        <rFont val="Arial"/>
        <family val="2"/>
      </rPr>
      <t xml:space="preserve">9.  </t>
    </r>
    <r>
      <rPr>
        <sz val="5"/>
        <color rgb="FF000000"/>
        <rFont val="Arial"/>
        <family val="2"/>
      </rPr>
      <t xml:space="preserve">MAL FORMACIÓN</t>
    </r>
  </si>
  <si>
    <r>
      <rPr>
        <b val="true"/>
        <sz val="5"/>
        <color rgb="FF000000"/>
        <rFont val="Arial"/>
        <family val="2"/>
      </rPr>
      <t xml:space="preserve">10.  </t>
    </r>
    <r>
      <rPr>
        <sz val="5"/>
        <color rgb="FF000000"/>
        <rFont val="Arial"/>
        <family val="2"/>
      </rPr>
      <t xml:space="preserve">OTRO</t>
    </r>
  </si>
  <si>
    <t xml:space="preserve">X</t>
  </si>
  <si>
    <t xml:space="preserve">LAMICTAL DE 100 MG, 250 MG DIARIOS</t>
  </si>
  <si>
    <t xml:space="preserve">D. ANTECEDENTES PATOLÓGICOS FAMILIARES</t>
  </si>
  <si>
    <r>
      <rPr>
        <b val="true"/>
        <sz val="5"/>
        <color rgb="FF000000"/>
        <rFont val="Arial"/>
        <family val="2"/>
      </rPr>
      <t xml:space="preserve">6. </t>
    </r>
    <r>
      <rPr>
        <sz val="5"/>
        <color rgb="FF000000"/>
        <rFont val="Arial"/>
        <family val="2"/>
      </rPr>
      <t xml:space="preserve">TUBERCULOSIS</t>
    </r>
  </si>
  <si>
    <t xml:space="preserve">E. ENFERMEDAD O PROBLEMA ACTUAL</t>
  </si>
  <si>
    <t xml:space="preserve">CRONOLOGÍA - LOCALIZACIÓN - CARACTERÍSTICAS - INTENSIDAD - FRECUENCIA - FACTORES AGRAVANTES</t>
  </si>
  <si>
    <t xml:space="preserve">F. CONSTANTES VITALES Y ANTROPOMETRÍA</t>
  </si>
  <si>
    <t xml:space="preserve">FECHA</t>
  </si>
  <si>
    <t xml:space="preserve">HORA</t>
  </si>
  <si>
    <t xml:space="preserve">Temperatura (°C)</t>
  </si>
  <si>
    <t xml:space="preserve">Presión Arterial (mmHg)</t>
  </si>
  <si>
    <t xml:space="preserve">Pulso / min</t>
  </si>
  <si>
    <t xml:space="preserve">Frecuencia Respiratoria
/min</t>
  </si>
  <si>
    <t xml:space="preserve">Peso (Kg)</t>
  </si>
  <si>
    <t xml:space="preserve"> Talla (cm)</t>
  </si>
  <si>
    <r>
      <rPr>
        <b val="true"/>
        <sz val="8"/>
        <rFont val="Arial"/>
        <family val="2"/>
      </rPr>
      <t xml:space="preserve">IMC (Kg / m </t>
    </r>
    <r>
      <rPr>
        <b val="true"/>
        <vertAlign val="superscript"/>
        <sz val="8"/>
        <rFont val="Arial"/>
        <family val="2"/>
      </rPr>
      <t xml:space="preserve">2</t>
    </r>
    <r>
      <rPr>
        <b val="true"/>
        <sz val="8"/>
        <rFont val="Arial"/>
        <family val="2"/>
      </rPr>
      <t xml:space="preserve">)</t>
    </r>
  </si>
  <si>
    <t xml:space="preserve">Perímetro Abdominal (cm)</t>
  </si>
  <si>
    <t xml:space="preserve">Hemoglobina capilar  (g/dl)</t>
  </si>
  <si>
    <t xml:space="preserve">Glucosa capilar (mg/ dl) </t>
  </si>
  <si>
    <t xml:space="preserve">Pulsioximetría (%)</t>
  </si>
  <si>
    <t xml:space="preserve">G. REVISIÓN ACTUAL DE ÓRGANOS Y SISTEMAS</t>
  </si>
  <si>
    <t xml:space="preserve">MARCAR "X"  CUANDO PRESENTE PATOLOGÍA Y DESCRIBA</t>
  </si>
  <si>
    <t xml:space="preserve">PIEL - ANEXOS</t>
  </si>
  <si>
    <t xml:space="preserve">RESPIRATORIO</t>
  </si>
  <si>
    <t xml:space="preserve">DIGESTIVO</t>
  </si>
  <si>
    <t xml:space="preserve">MÚSCULO - ESQUELÉTICO</t>
  </si>
  <si>
    <t xml:space="preserve">HEMO - LINFÁTICO</t>
  </si>
  <si>
    <t xml:space="preserve">ÓRGANOS DE LOS SENTIDOS</t>
  </si>
  <si>
    <t xml:space="preserve">CARDIO - VASCULAR</t>
  </si>
  <si>
    <t xml:space="preserve">GENITO - URINARIO</t>
  </si>
  <si>
    <t xml:space="preserve">ENDOCRINO</t>
  </si>
  <si>
    <t xml:space="preserve">NERVIOSO</t>
  </si>
  <si>
    <t xml:space="preserve">SNS-MSP / HCU-form.002 / 2021</t>
  </si>
  <si>
    <t xml:space="preserve">CONSULTA EXTERNA - ANAMNESIS (1) </t>
  </si>
  <si>
    <t xml:space="preserve">H. EXAMEN FISICO</t>
  </si>
  <si>
    <t xml:space="preserve">REGIONAL</t>
  </si>
  <si>
    <t xml:space="preserve">SISTÉMICO</t>
  </si>
  <si>
    <t xml:space="preserve">1R</t>
  </si>
  <si>
    <t xml:space="preserve">PIEL - FANERAS</t>
  </si>
  <si>
    <t xml:space="preserve">6R</t>
  </si>
  <si>
    <t xml:space="preserve">BOCA</t>
  </si>
  <si>
    <t xml:space="preserve">11R</t>
  </si>
  <si>
    <t xml:space="preserve">ABDOMEN </t>
  </si>
  <si>
    <t xml:space="preserve">1S</t>
  </si>
  <si>
    <t xml:space="preserve">6S</t>
  </si>
  <si>
    <t xml:space="preserve">URINARIO</t>
  </si>
  <si>
    <t xml:space="preserve">2R</t>
  </si>
  <si>
    <t xml:space="preserve">CABEZA </t>
  </si>
  <si>
    <t xml:space="preserve">7R</t>
  </si>
  <si>
    <t xml:space="preserve">OROFARINGE</t>
  </si>
  <si>
    <t xml:space="preserve">12R</t>
  </si>
  <si>
    <t xml:space="preserve">COLUMNA VERTEBRAL</t>
  </si>
  <si>
    <t xml:space="preserve">2S</t>
  </si>
  <si>
    <t xml:space="preserve">7S</t>
  </si>
  <si>
    <t xml:space="preserve">MÚSCULO -  ESQUELÉTICO</t>
  </si>
  <si>
    <t xml:space="preserve">3R</t>
  </si>
  <si>
    <t xml:space="preserve">OJOS</t>
  </si>
  <si>
    <t xml:space="preserve">8R</t>
  </si>
  <si>
    <t xml:space="preserve">CUELLO</t>
  </si>
  <si>
    <t xml:space="preserve">13R</t>
  </si>
  <si>
    <t xml:space="preserve">INGLE-PERINÉ</t>
  </si>
  <si>
    <t xml:space="preserve">3S</t>
  </si>
  <si>
    <t xml:space="preserve">CARDIO -  VASCULAR</t>
  </si>
  <si>
    <t xml:space="preserve">8S</t>
  </si>
  <si>
    <t xml:space="preserve">ENDÓCRINO</t>
  </si>
  <si>
    <t xml:space="preserve">4R</t>
  </si>
  <si>
    <t xml:space="preserve">OÍDOS</t>
  </si>
  <si>
    <t xml:space="preserve">9R</t>
  </si>
  <si>
    <t xml:space="preserve">AXILAS - MAMAS</t>
  </si>
  <si>
    <t xml:space="preserve">14R</t>
  </si>
  <si>
    <t xml:space="preserve">MIEMBROS SUPERIORES</t>
  </si>
  <si>
    <t xml:space="preserve">4S</t>
  </si>
  <si>
    <t xml:space="preserve">9S</t>
  </si>
  <si>
    <t xml:space="preserve">5R</t>
  </si>
  <si>
    <t xml:space="preserve">NARIZ</t>
  </si>
  <si>
    <t xml:space="preserve">10R</t>
  </si>
  <si>
    <t xml:space="preserve">TÓRAX</t>
  </si>
  <si>
    <t xml:space="preserve">15R</t>
  </si>
  <si>
    <t xml:space="preserve">MIEMBROS INFERIORES</t>
  </si>
  <si>
    <t xml:space="preserve">5S</t>
  </si>
  <si>
    <t xml:space="preserve">GENITAL</t>
  </si>
  <si>
    <t xml:space="preserve">10S</t>
  </si>
  <si>
    <t xml:space="preserve">NEUROLÓ+A43:BL48GICO</t>
  </si>
  <si>
    <t xml:space="preserve">I. DIAGNÓSTICO</t>
  </si>
  <si>
    <t xml:space="preserve">PRE= PRESUNTIVO
DEF= DEFINITIVO</t>
  </si>
  <si>
    <t xml:space="preserve">CIE</t>
  </si>
  <si>
    <t xml:space="preserve">PRE</t>
  </si>
  <si>
    <t xml:space="preserve">DEF</t>
  </si>
  <si>
    <t xml:space="preserve">1.</t>
  </si>
  <si>
    <t xml:space="preserve">4.</t>
  </si>
  <si>
    <t xml:space="preserve">2.</t>
  </si>
  <si>
    <t xml:space="preserve">5.</t>
  </si>
  <si>
    <t xml:space="preserve">3.</t>
  </si>
  <si>
    <t xml:space="preserve">6.</t>
  </si>
  <si>
    <t xml:space="preserve">J. PLAN DE TRATAMIENTO</t>
  </si>
  <si>
    <t xml:space="preserve">DIAGNOSTICO, TERAPÉUTICO Y EDUCACIONAL</t>
  </si>
  <si>
    <t xml:space="preserve">TIEMPO APROXIMADO DE CONSULTA: 30 MIN</t>
  </si>
  <si>
    <t xml:space="preserve">K. DATOS DEL PROFESIONAL RESPONSABLE</t>
  </si>
  <si>
    <r>
      <rPr>
        <b val="true"/>
        <sz val="7"/>
        <rFont val="Arial"/>
        <family val="2"/>
      </rPr>
      <t xml:space="preserve">FECHA
</t>
    </r>
    <r>
      <rPr>
        <sz val="7"/>
        <rFont val="Arial"/>
        <family val="2"/>
      </rPr>
      <t xml:space="preserve">(aaaa-mm-dd)</t>
    </r>
  </si>
  <si>
    <r>
      <rPr>
        <b val="true"/>
        <sz val="7"/>
        <rFont val="Arial"/>
        <family val="2"/>
      </rPr>
      <t xml:space="preserve">HORA
</t>
    </r>
    <r>
      <rPr>
        <sz val="7"/>
        <rFont val="Arial"/>
        <family val="2"/>
      </rPr>
      <t xml:space="preserve">(hh:mm)</t>
    </r>
  </si>
  <si>
    <t xml:space="preserve">FRANK</t>
  </si>
  <si>
    <t xml:space="preserve">MEDINA</t>
  </si>
  <si>
    <t xml:space="preserve">ALI</t>
  </si>
  <si>
    <t xml:space="preserve">NÚMERO DE DOCUMENTO DE IDENTIFICACIÓN</t>
  </si>
  <si>
    <t xml:space="preserve">FIRMA</t>
  </si>
  <si>
    <t xml:space="preserve">SELLO</t>
  </si>
  <si>
    <t xml:space="preserve">CONSULTA EXTERNA -  EXAMEN FÍSICO Y PRESCRIPCIONES (2) </t>
  </si>
  <si>
    <t xml:space="preserve">A. DATOS DEL ESTABLECIMIENTO Y USUARIO / PACIENTE</t>
  </si>
  <si>
    <t xml:space="preserve">NÚMERO DE ARCHIVO</t>
  </si>
  <si>
    <t xml:space="preserve">EDAD</t>
  </si>
  <si>
    <r>
      <rPr>
        <b val="true"/>
        <sz val="7"/>
        <rFont val="Arial"/>
        <family val="2"/>
      </rPr>
      <t xml:space="preserve">CONDICIÓN EDAD </t>
    </r>
    <r>
      <rPr>
        <sz val="7"/>
        <rFont val="Arial"/>
        <family val="2"/>
      </rPr>
      <t xml:space="preserve">(MARCAR)</t>
    </r>
  </si>
  <si>
    <t xml:space="preserve">H</t>
  </si>
  <si>
    <t xml:space="preserve">D</t>
  </si>
  <si>
    <t xml:space="preserve">M</t>
  </si>
  <si>
    <t xml:space="preserve">A</t>
  </si>
  <si>
    <t xml:space="preserve">B. CARACTERÍSTICA DE LA SOLICITUD, MOTIVO Y PRIORIDAD DE ATENCIÓN</t>
  </si>
  <si>
    <t xml:space="preserve">SERVICIO</t>
  </si>
  <si>
    <t xml:space="preserve">ESPECIALIDAD</t>
  </si>
  <si>
    <t xml:space="preserve">No. CAMA</t>
  </si>
  <si>
    <t xml:space="preserve">No. SALA</t>
  </si>
  <si>
    <t xml:space="preserve">URGENTE</t>
  </si>
  <si>
    <t xml:space="preserve">EMERGENCIA</t>
  </si>
  <si>
    <t xml:space="preserve">CONSULTA EXTERNA</t>
  </si>
  <si>
    <t xml:space="preserve">HOSPITALIZACIÓN</t>
  </si>
  <si>
    <t xml:space="preserve">ENDOCRINOLOGIA</t>
  </si>
  <si>
    <t xml:space="preserve">SI</t>
  </si>
  <si>
    <t xml:space="preserve">NO</t>
  </si>
  <si>
    <t xml:space="preserve">ESPECIALIDAD CONSULTADA</t>
  </si>
  <si>
    <t xml:space="preserve">DESCRIPCIÓN DEL MOTIVO</t>
  </si>
  <si>
    <t xml:space="preserve">C. CUADRO CLÍNICO ACTUAL </t>
  </si>
  <si>
    <t xml:space="preserve">REGISTRAR DE MANERA OBLIGATORIA</t>
  </si>
  <si>
    <t xml:space="preserve">D. RESULTADOS DE EXÁMENES Y PROCEDIMIENTOS DIAGNÓSTICOS RELEVANTES</t>
  </si>
  <si>
    <t xml:space="preserve">E. DIAGNÓSTICO</t>
  </si>
  <si>
    <t xml:space="preserve">PRE= PRESUNTIVO                     DEF= DEFINITIVO</t>
  </si>
  <si>
    <t xml:space="preserve">F. PLAN TERAPEÚTICO REALIZADO</t>
  </si>
  <si>
    <t xml:space="preserve">G. DATOS DEL PROFESIONAL RESPONSABLE</t>
  </si>
  <si>
    <r>
      <rPr>
        <b val="true"/>
        <sz val="6"/>
        <rFont val="Arial"/>
        <family val="2"/>
      </rPr>
      <t xml:space="preserve">FECHA
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</si>
  <si>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
</t>
    </r>
    <r>
      <rPr>
        <sz val="6"/>
        <rFont val="Arial"/>
        <family val="2"/>
      </rPr>
      <t xml:space="preserve">(hh:mm)</t>
    </r>
  </si>
  <si>
    <t xml:space="preserve">SNS-MSP/HCU-form.007/2021</t>
  </si>
  <si>
    <t xml:space="preserve">INTERCONSULTA - SOLICITUD</t>
  </si>
  <si>
    <t xml:space="preserve">A. DATOS DEL ESTABLECIMIENTO DE ORIGEN Y USUARIO / PACIENTE</t>
  </si>
  <si>
    <t xml:space="preserve">TIPOLOGIA</t>
  </si>
  <si>
    <t xml:space="preserve">ll</t>
  </si>
  <si>
    <t xml:space="preserve">FECHA NACIMIENTO</t>
  </si>
  <si>
    <t xml:space="preserve">No. TELÉFONO (CELULAR O CONVENCIONAL)</t>
  </si>
  <si>
    <t xml:space="preserve">REFERENCIA</t>
  </si>
  <si>
    <t xml:space="preserve">DERIVACIÓN</t>
  </si>
  <si>
    <t xml:space="preserve">MOTIVO</t>
  </si>
  <si>
    <t xml:space="preserve">1. Accesibilidad geográfica.</t>
  </si>
  <si>
    <t xml:space="preserve">6. Problemas de abastecimiento.</t>
  </si>
  <si>
    <t xml:space="preserve">LUGAR DE RESIDENCIA ACTUAL</t>
  </si>
  <si>
    <t xml:space="preserve">2. Falta de espacio físico.</t>
  </si>
  <si>
    <t xml:space="preserve">7. Insuficiencia de profesionales.</t>
  </si>
  <si>
    <t xml:space="preserve">CANTÓN</t>
  </si>
  <si>
    <t xml:space="preserve">3. Falta de equipamiento.</t>
  </si>
  <si>
    <t xml:space="preserve">8. Inadecuada capacidad resolutiva</t>
  </si>
  <si>
    <t xml:space="preserve">4. Equipos en mal estado.</t>
  </si>
  <si>
    <t xml:space="preserve">9. Ausencia de la prestación en la cartera de servicios</t>
  </si>
  <si>
    <t xml:space="preserve">5. Problemas de infraestructura.</t>
  </si>
  <si>
    <t xml:space="preserve">B. DATOS DEL ESTABLECIMIENTO AL QUE SE REFIERE - DERIVA</t>
  </si>
  <si>
    <t xml:space="preserve">C. RESUMEN DEL CUADRO CLÍNICO</t>
  </si>
  <si>
    <t xml:space="preserve">D. HALLAZGOS RELEVANTES DE EXÁMENES Y PROCEDIMIENTOS DIAGNÓSTICOS</t>
  </si>
  <si>
    <t xml:space="preserve">F. DATOS DEL PROFESIONAL RESPONSABLE</t>
  </si>
  <si>
    <t xml:space="preserve">SNS-MSP/HCU-form.053/2021</t>
  </si>
  <si>
    <t xml:space="preserve">REFERENCIA - DERIVACIÓN- CONTRAREFERENCIA - REFERENCIA INVERSA</t>
  </si>
  <si>
    <t xml:space="preserve">B. SERVICIO Y PRIORIDAD DE ATENCIÓN</t>
  </si>
  <si>
    <t xml:space="preserve">DIAGNÓSTICO</t>
  </si>
  <si>
    <t xml:space="preserve">PRIORIDAD</t>
  </si>
  <si>
    <t xml:space="preserve">SALA</t>
  </si>
  <si>
    <t xml:space="preserve">CAMA</t>
  </si>
  <si>
    <t xml:space="preserve">RUTINA</t>
  </si>
  <si>
    <t xml:space="preserve">TRATAMIENTO TERAPEUTICO (ESPECIFIQUE NOMBRE Y TIEMPO DE ADMINISTRACIÓN):</t>
  </si>
  <si>
    <t xml:space="preserve">C. LISTADO DE EXÁMENES</t>
  </si>
  <si>
    <t xml:space="preserve">HEMATOLOGÍA</t>
  </si>
  <si>
    <t xml:space="preserve">COAGULACIÓN Y HEMOSTASIA</t>
  </si>
  <si>
    <t xml:space="preserve">QUÍMICA SANGUÍNEA</t>
  </si>
  <si>
    <t xml:space="preserve">BIOMETRIA HEMÁTICA</t>
  </si>
  <si>
    <t xml:space="preserve">FRAGILIDAD OSMÓTICA ERITROCITARIA</t>
  </si>
  <si>
    <t xml:space="preserve">TIEMPO DE PROTROMBINA (TP)</t>
  </si>
  <si>
    <t xml:space="preserve">GLUCOSA BASAL</t>
  </si>
  <si>
    <t xml:space="preserve">BILIRRUBINA DIRECTA</t>
  </si>
  <si>
    <t xml:space="preserve">HEMATOCRITO (HCTO)</t>
  </si>
  <si>
    <t xml:space="preserve">METABISULFITO</t>
  </si>
  <si>
    <t xml:space="preserve">TIEMPO DE TROMBOPLASTINA PARCIAL (TTP)</t>
  </si>
  <si>
    <t xml:space="preserve">GLUCOSA POST PRANDIAL 2 HORAS</t>
  </si>
  <si>
    <t xml:space="preserve">BILIRRUBINA INDIRECTA</t>
  </si>
  <si>
    <t xml:space="preserve">HEMOGLOBINA (HB)</t>
  </si>
  <si>
    <t xml:space="preserve">HEMATOZOOARIO</t>
  </si>
  <si>
    <t xml:space="preserve">TIEMPO DE TROMBINA (TT)</t>
  </si>
  <si>
    <t xml:space="preserve">GLUCOSA AL AZAR</t>
  </si>
  <si>
    <t xml:space="preserve">COLESTEROL TOTAL</t>
  </si>
  <si>
    <t xml:space="preserve">PLAQUETAS</t>
  </si>
  <si>
    <t xml:space="preserve">INVESTIGACIÓN DE LEISHMANIA</t>
  </si>
  <si>
    <t xml:space="preserve">INR</t>
  </si>
  <si>
    <t xml:space="preserve">SOBRECARGA GLUCOSA 75  gramos</t>
  </si>
  <si>
    <t xml:space="preserve">LIPOPROTEÍNA DE ALTA DENSIDAD (HDL)</t>
  </si>
  <si>
    <t xml:space="preserve">RETICULOCITOS</t>
  </si>
  <si>
    <t xml:space="preserve">EOSINÓFILO EN MOCO NASAL</t>
  </si>
  <si>
    <t xml:space="preserve">FACTOR COAGULACIÓN VIII</t>
  </si>
  <si>
    <t xml:space="preserve">TEST DE SULLIVAN (GLUCOSA 50 gramos)</t>
  </si>
  <si>
    <t xml:space="preserve">LIPOPROTEÍNA DE BAJA DENSIDAD (LDL)</t>
  </si>
  <si>
    <t xml:space="preserve">VELOCIDAD DE ERITROSEDIMENTACIÓN</t>
  </si>
  <si>
    <t xml:space="preserve">FROTIS SANGRE PERIFERICA</t>
  </si>
  <si>
    <t xml:space="preserve">FACTOR COAGULACIÓN IX</t>
  </si>
  <si>
    <t xml:space="preserve">UREA</t>
  </si>
  <si>
    <t xml:space="preserve">LIPOPROTEÍNA DE MUY BAJA DENSIDAD (VLDL)</t>
  </si>
  <si>
    <t xml:space="preserve">HIERRO SERICO</t>
  </si>
  <si>
    <t xml:space="preserve">ÁCIDO FÓLICO</t>
  </si>
  <si>
    <t xml:space="preserve">FACTOR VON WILLEBRAND</t>
  </si>
  <si>
    <t xml:space="preserve">CREATININA</t>
  </si>
  <si>
    <t xml:space="preserve">TRIGLICERIDOS</t>
  </si>
  <si>
    <t xml:space="preserve">FIJACIÓN HIERRO</t>
  </si>
  <si>
    <t xml:space="preserve">VITAMINA B12</t>
  </si>
  <si>
    <t xml:space="preserve">FIBRINOGENO</t>
  </si>
  <si>
    <t xml:space="preserve">ACIDO ÚRICO</t>
  </si>
  <si>
    <t xml:space="preserve">ALBUMINA</t>
  </si>
  <si>
    <t xml:space="preserve">PORCENTAJE SATURACIÓN TRANSFERRINA</t>
  </si>
  <si>
    <t xml:space="preserve">DIMERO-D</t>
  </si>
  <si>
    <t xml:space="preserve">FOSFATASA ALCALINA</t>
  </si>
  <si>
    <t xml:space="preserve">PROTEÍNAS TOTALES</t>
  </si>
  <si>
    <t xml:space="preserve">TRANSFERRINA</t>
  </si>
  <si>
    <t xml:space="preserve">IDENTIFICACION DE INHIBIDORES</t>
  </si>
  <si>
    <t xml:space="preserve">DESHIDROGENASA LACTICA (LDH)</t>
  </si>
  <si>
    <t xml:space="preserve">HEMOGLOBINA GLICOSILADA (HBA1C)</t>
  </si>
  <si>
    <t xml:space="preserve">FERRITINA</t>
  </si>
  <si>
    <t xml:space="preserve">ASPARTATO AMINOTRANSFERASA (AST/TGO)</t>
  </si>
  <si>
    <t xml:space="preserve">CPK TOTAL</t>
  </si>
  <si>
    <t xml:space="preserve">ALANINA AMINOTRANSFERASA (ALT/TGP)</t>
  </si>
  <si>
    <t xml:space="preserve">FRUCTOSAMINA</t>
  </si>
  <si>
    <t xml:space="preserve">INMUNOLOGÍA / INFECCIOSAS</t>
  </si>
  <si>
    <t xml:space="preserve">GAMMA-GLUTARIL TRANSFERASA (GGT)</t>
  </si>
  <si>
    <t xml:space="preserve">PCR CUANTITATIVO</t>
  </si>
  <si>
    <t xml:space="preserve">COMPLEMENTO C3</t>
  </si>
  <si>
    <t xml:space="preserve">ANTIGENO SUPERFICIE HEPATITIS B (HBSAG)</t>
  </si>
  <si>
    <t xml:space="preserve">ORINA</t>
  </si>
  <si>
    <t xml:space="preserve">AMILASA</t>
  </si>
  <si>
    <t xml:space="preserve">COMPLEMENTO C4</t>
  </si>
  <si>
    <t xml:space="preserve">ANTICUERPOS ANTICORE Ig-G (HBcAG)</t>
  </si>
  <si>
    <t xml:space="preserve">ELEMENTAL Y MICROSCOPICO (EMO)</t>
  </si>
  <si>
    <t xml:space="preserve">LIPASA</t>
  </si>
  <si>
    <t xml:space="preserve">IgA TOTAL</t>
  </si>
  <si>
    <t xml:space="preserve">ANTICUERPOS ANTICORE Ig-M (HBcAG)</t>
  </si>
  <si>
    <t xml:space="preserve">GRAM GOTA FRESCA</t>
  </si>
  <si>
    <t xml:space="preserve">BILIRRUBINA TOTAL</t>
  </si>
  <si>
    <t xml:space="preserve">IgE TOTAL</t>
  </si>
  <si>
    <t xml:space="preserve">HEPATITIS C: HVC</t>
  </si>
  <si>
    <t xml:space="preserve">OSMOLARIDAD URINARIA</t>
  </si>
  <si>
    <t xml:space="preserve">IgG TOTAL</t>
  </si>
  <si>
    <t xml:space="preserve">VIH (1+2) CUALITATIVA</t>
  </si>
  <si>
    <t xml:space="preserve">SODIO EN ORINA PARCIAL</t>
  </si>
  <si>
    <t xml:space="preserve">HECES</t>
  </si>
  <si>
    <t xml:space="preserve">IgM TOTAL</t>
  </si>
  <si>
    <t xml:space="preserve">VIH (1+2) CUANTITATIVA</t>
  </si>
  <si>
    <t xml:space="preserve">POTASIO EN ORINA PARCIAL</t>
  </si>
  <si>
    <t xml:space="preserve">COPROLÓGICO / COPROPARASITARIO</t>
  </si>
  <si>
    <t xml:space="preserve">CRIPTOSPORIDIUM</t>
  </si>
  <si>
    <t xml:space="preserve">PROCALCITONINA</t>
  </si>
  <si>
    <t xml:space="preserve">HERPES 1 (IgG)</t>
  </si>
  <si>
    <t xml:space="preserve">CLORO EN ORINA PARCIAL</t>
  </si>
  <si>
    <t xml:space="preserve">COPROPARASITARIO POR CONCENTRACIÓN</t>
  </si>
  <si>
    <t xml:space="preserve">OXIUROS</t>
  </si>
  <si>
    <t xml:space="preserve">IL-6</t>
  </si>
  <si>
    <t xml:space="preserve">HERPES 1 (IgM)</t>
  </si>
  <si>
    <t xml:space="preserve">CALCIO URINARIO</t>
  </si>
  <si>
    <t xml:space="preserve">COPRO SERIADO</t>
  </si>
  <si>
    <t xml:space="preserve">GARDIA-LAMBLIA ANTÍGENO</t>
  </si>
  <si>
    <t xml:space="preserve">ANA</t>
  </si>
  <si>
    <t xml:space="preserve">HERPES 2 (IgG)</t>
  </si>
  <si>
    <t xml:space="preserve">FOSFORO EN ORINA PARCIAL</t>
  </si>
  <si>
    <t xml:space="preserve">INVESTIGACION DE POLIMORFONUCLEARES (PMN)</t>
  </si>
  <si>
    <t xml:space="preserve">INVESTIGACIÓN DE GRASAS</t>
  </si>
  <si>
    <t xml:space="preserve">ANCA-C</t>
  </si>
  <si>
    <t xml:space="preserve">HERPES 2 (IgM)</t>
  </si>
  <si>
    <t xml:space="preserve">MAGNESIO EN ORINA PARCIAL</t>
  </si>
  <si>
    <t xml:space="preserve">SANGRE OCULTA</t>
  </si>
  <si>
    <t xml:space="preserve">AZÚCARES REDUCTORES</t>
  </si>
  <si>
    <t xml:space="preserve">ANCA-P</t>
  </si>
  <si>
    <t xml:space="preserve">RUBEOLA (IgG)</t>
  </si>
  <si>
    <t xml:space="preserve">GLUCOSA EN ORINA PARCIAL</t>
  </si>
  <si>
    <t xml:space="preserve">INVESTIGACIÓN DE pH</t>
  </si>
  <si>
    <t xml:space="preserve">HELICOBACTER PYLORI</t>
  </si>
  <si>
    <t xml:space="preserve">ANTI-DNA</t>
  </si>
  <si>
    <t xml:space="preserve">RUBEOLA (IgM)</t>
  </si>
  <si>
    <t xml:space="preserve">UREA EN ORINA PARCIAL</t>
  </si>
  <si>
    <t xml:space="preserve">ROTAVIRUS</t>
  </si>
  <si>
    <t xml:space="preserve">ANTI-CCP</t>
  </si>
  <si>
    <t xml:space="preserve">TOXOPLASMA (IgG)</t>
  </si>
  <si>
    <t xml:space="preserve">CREATINA EN ORINA PARCIAL</t>
  </si>
  <si>
    <t xml:space="preserve">ADENOVIRIS</t>
  </si>
  <si>
    <t xml:space="preserve">ANTI-SM</t>
  </si>
  <si>
    <t xml:space="preserve">TOXOPLASMA (IgM)</t>
  </si>
  <si>
    <t xml:space="preserve">NITRÓGENO UREICO EN ORINA PARCIAL</t>
  </si>
  <si>
    <t xml:space="preserve">ANTI-RO</t>
  </si>
  <si>
    <t xml:space="preserve">CITOMEGALOVIRUS (IgG)</t>
  </si>
  <si>
    <t xml:space="preserve">ÁCIDO ÚRICO EN ORINA PARCIAL</t>
  </si>
  <si>
    <t xml:space="preserve">MARCADORES TUMORALES</t>
  </si>
  <si>
    <t xml:space="preserve">ANTI-LA</t>
  </si>
  <si>
    <t xml:space="preserve">CITOMEGALOVIRUS (IgM)</t>
  </si>
  <si>
    <t xml:space="preserve">PROTEINAS EN ORINA PARCIAL</t>
  </si>
  <si>
    <t xml:space="preserve">CEA</t>
  </si>
  <si>
    <t xml:space="preserve">PSA LIBRE</t>
  </si>
  <si>
    <t xml:space="preserve">HE4</t>
  </si>
  <si>
    <t xml:space="preserve">ANTI CARDIOLIPINA IgG</t>
  </si>
  <si>
    <t xml:space="preserve">EPSTEIN BAR (IgG)</t>
  </si>
  <si>
    <t xml:space="preserve">FÓSFORO EN ORINA 24 HORAS</t>
  </si>
  <si>
    <t xml:space="preserve">AFP</t>
  </si>
  <si>
    <t xml:space="preserve">PSA TOTAL</t>
  </si>
  <si>
    <t xml:space="preserve">B-HCG LIBRE</t>
  </si>
  <si>
    <t xml:space="preserve">ANTI CARDIOLIPINA IgM</t>
  </si>
  <si>
    <t xml:space="preserve">EPSTEIN BAR (IgM)</t>
  </si>
  <si>
    <t xml:space="preserve">POTASIO EN ORINA 24 HORAS</t>
  </si>
  <si>
    <t xml:space="preserve">CA 125</t>
  </si>
  <si>
    <t xml:space="preserve">β2 -MICROGLOBULINA</t>
  </si>
  <si>
    <t xml:space="preserve">B-HCG CUANTITATIVA</t>
  </si>
  <si>
    <t xml:space="preserve">ANTIFOSFOLIPIDOS IgG</t>
  </si>
  <si>
    <t xml:space="preserve">DENGUE (IgG)</t>
  </si>
  <si>
    <t xml:space="preserve">PROTEINAS EN ORINA 24 HORAS</t>
  </si>
  <si>
    <t xml:space="preserve">CA 15.3</t>
  </si>
  <si>
    <t xml:space="preserve">ANTI-TPO</t>
  </si>
  <si>
    <t xml:space="preserve">ANTIFOSFOLIPIDOS IgM</t>
  </si>
  <si>
    <t xml:space="preserve">DENGUE (IgM)</t>
  </si>
  <si>
    <t xml:space="preserve">DEPURACIÓN CREATININA (ORINA 24 HORAS)</t>
  </si>
  <si>
    <t xml:space="preserve">CA 19.9</t>
  </si>
  <si>
    <t xml:space="preserve">ANTI-TG</t>
  </si>
  <si>
    <t xml:space="preserve">FACTOR REUMATOIDEO (IgM)</t>
  </si>
  <si>
    <t xml:space="preserve">CLAMIDIA  (IgA)</t>
  </si>
  <si>
    <t xml:space="preserve">ÁCIDO ÚRICO EN ORINA 24 HORAS</t>
  </si>
  <si>
    <t xml:space="preserve">CA 72.4</t>
  </si>
  <si>
    <t xml:space="preserve">TIROGLOBULINA</t>
  </si>
  <si>
    <t xml:space="preserve">SFLT1 (MARCADOR DE PREECLAMPSIA)</t>
  </si>
  <si>
    <t xml:space="preserve">CLAMIDIA  (IgG)</t>
  </si>
  <si>
    <t xml:space="preserve">CALCIO EN ORINA 24 HORAS</t>
  </si>
  <si>
    <t xml:space="preserve">PIGF (MARCADOR DE PREECLAMPSIA)</t>
  </si>
  <si>
    <t xml:space="preserve">FTA-ABS</t>
  </si>
  <si>
    <t xml:space="preserve">AMILASA EN ORINA 24 HORAS</t>
  </si>
  <si>
    <t xml:space="preserve">CITOQUÍMICO Y BACTERIOLÓGICO DE LÍQUIDOS</t>
  </si>
  <si>
    <t xml:space="preserve">COBRE EN ORINA 24 HORAS</t>
  </si>
  <si>
    <t xml:space="preserve">CEFALORRAQUIDEO</t>
  </si>
  <si>
    <t xml:space="preserve">PLEURAL</t>
  </si>
  <si>
    <t xml:space="preserve">HEPATITIS A (IgM)</t>
  </si>
  <si>
    <t xml:space="preserve">AZÚCARES REDUCTORES </t>
  </si>
  <si>
    <t xml:space="preserve">ARTICULAR / SINOVIAL</t>
  </si>
  <si>
    <t xml:space="preserve">PERICÁRDICO</t>
  </si>
  <si>
    <t xml:space="preserve">HEPATITIS A TOTAL</t>
  </si>
  <si>
    <t xml:space="preserve">DROGAS DE ABUSO EN ORINA</t>
  </si>
  <si>
    <t xml:space="preserve">ASCÍTICO / PERITONEAL</t>
  </si>
  <si>
    <t xml:space="preserve">LÍQUIDO AMNIÓTICO</t>
  </si>
  <si>
    <t xml:space="preserve">ALBUMINURIA</t>
  </si>
  <si>
    <t xml:space="preserve">MARCADORES CARDIACOS/VASCULARES</t>
  </si>
  <si>
    <t xml:space="preserve">NIVELES DE FÁRMACOS TERAPÉUTICAS</t>
  </si>
  <si>
    <t xml:space="preserve">TROPONINA T</t>
  </si>
  <si>
    <t xml:space="preserve">ÁCIDO VALPROICO</t>
  </si>
  <si>
    <t xml:space="preserve">CK-MB</t>
  </si>
  <si>
    <t xml:space="preserve">NT-proBNP</t>
  </si>
  <si>
    <t xml:space="preserve">CARBAMAZEPINA</t>
  </si>
  <si>
    <t xml:space="preserve">VANCOMICINA</t>
  </si>
  <si>
    <t xml:space="preserve">CPK-NAC</t>
  </si>
  <si>
    <t xml:space="preserve">MIOGLOBINA</t>
  </si>
  <si>
    <t xml:space="preserve">INMUNOSUPRESORES</t>
  </si>
  <si>
    <t xml:space="preserve">FENOBARBITAL</t>
  </si>
  <si>
    <t xml:space="preserve">AMIKACINA</t>
  </si>
  <si>
    <t xml:space="preserve">TROPONINA I</t>
  </si>
  <si>
    <t xml:space="preserve">CYCLOSPORINA</t>
  </si>
  <si>
    <t xml:space="preserve">EVEROLIMUS</t>
  </si>
  <si>
    <t xml:space="preserve">DIGOXINA</t>
  </si>
  <si>
    <t xml:space="preserve">LITIO</t>
  </si>
  <si>
    <t xml:space="preserve">SIROLIMUS</t>
  </si>
  <si>
    <t xml:space="preserve">FENITOÍNA SÓDICA</t>
  </si>
  <si>
    <t xml:space="preserve">HORMONAS</t>
  </si>
  <si>
    <t xml:space="preserve">TACROLIMUS</t>
  </si>
  <si>
    <t xml:space="preserve">T3</t>
  </si>
  <si>
    <t xml:space="preserve">PROGESTERONA</t>
  </si>
  <si>
    <t xml:space="preserve">SEROLOGÍA</t>
  </si>
  <si>
    <t xml:space="preserve">FT3</t>
  </si>
  <si>
    <t xml:space="preserve">INSULINA</t>
  </si>
  <si>
    <t xml:space="preserve">GASES Y ELECTROLITOS</t>
  </si>
  <si>
    <t xml:space="preserve">AGLUTINACIONES FEBRILES</t>
  </si>
  <si>
    <t xml:space="preserve">PCR SEMICUANTITATIVA</t>
  </si>
  <si>
    <t xml:space="preserve">T4</t>
  </si>
  <si>
    <t xml:space="preserve">ACTH</t>
  </si>
  <si>
    <t xml:space="preserve">Na</t>
  </si>
  <si>
    <t xml:space="preserve">Mg</t>
  </si>
  <si>
    <t xml:space="preserve">ASTO</t>
  </si>
  <si>
    <t xml:space="preserve">MALARIA (PCR)</t>
  </si>
  <si>
    <t xml:space="preserve">FT4</t>
  </si>
  <si>
    <t xml:space="preserve">PROLACTINA</t>
  </si>
  <si>
    <t xml:space="preserve">K</t>
  </si>
  <si>
    <t xml:space="preserve">Li</t>
  </si>
  <si>
    <t xml:space="preserve">FR-LÁTEX</t>
  </si>
  <si>
    <t xml:space="preserve">SIFILIS (PCR)</t>
  </si>
  <si>
    <t xml:space="preserve">TSH</t>
  </si>
  <si>
    <t xml:space="preserve">25 HIDROXIVITAMINA D</t>
  </si>
  <si>
    <t xml:space="preserve">Cl</t>
  </si>
  <si>
    <t xml:space="preserve">GASOMETRÍA ARTERIAL</t>
  </si>
  <si>
    <t xml:space="preserve">DENGUE (PCR)</t>
  </si>
  <si>
    <t xml:space="preserve">PTH</t>
  </si>
  <si>
    <t xml:space="preserve">ESTRADIOL (E2)</t>
  </si>
  <si>
    <t xml:space="preserve">Ca+</t>
  </si>
  <si>
    <t xml:space="preserve">GASOMETRÍA VENOSA</t>
  </si>
  <si>
    <t xml:space="preserve">CHLAMYDIA (PCR)</t>
  </si>
  <si>
    <t xml:space="preserve">FSH</t>
  </si>
  <si>
    <t xml:space="preserve">LH</t>
  </si>
  <si>
    <t xml:space="preserve">Ca</t>
  </si>
  <si>
    <t xml:space="preserve">PEPSINÓGENO</t>
  </si>
  <si>
    <t xml:space="preserve">ANDROSTENEDIONA</t>
  </si>
  <si>
    <t xml:space="preserve">CORTISOL</t>
  </si>
  <si>
    <t xml:space="preserve">P</t>
  </si>
  <si>
    <t xml:space="preserve">VDRL</t>
  </si>
  <si>
    <t xml:space="preserve">FACTOR DE CRECIMIENTO INSULINOIDE TIPO 1 (IGF-1)</t>
  </si>
  <si>
    <t xml:space="preserve">TESTOSTERONA TOTAL</t>
  </si>
  <si>
    <t xml:space="preserve">FACTOR DE UNION DEL FACTOR DE CRECIMIENTO T1 (IGFBP3)</t>
  </si>
  <si>
    <t xml:space="preserve">TESTOSTERONA LIBRE</t>
  </si>
  <si>
    <t xml:space="preserve">MEDICINA TRANSFUSIONAL</t>
  </si>
  <si>
    <t xml:space="preserve">MICROBIOLOGÍA</t>
  </si>
  <si>
    <t xml:space="preserve">B-HCG CUALITATIVA</t>
  </si>
  <si>
    <t xml:space="preserve">DHEA-S</t>
  </si>
  <si>
    <t xml:space="preserve">GRUPO Y FACTOR</t>
  </si>
  <si>
    <t xml:space="preserve">MUESTRA:</t>
  </si>
  <si>
    <t xml:space="preserve">COOMBS DIRECTO</t>
  </si>
  <si>
    <t xml:space="preserve">SITIO ANATÓMICO:</t>
  </si>
  <si>
    <t xml:space="preserve">HORMONA DE CRECIMIENTO</t>
  </si>
  <si>
    <t xml:space="preserve">COOMBS INDIRECTO</t>
  </si>
  <si>
    <t xml:space="preserve">CULTIVO  Y ANTIBIOGRAMA</t>
  </si>
  <si>
    <t xml:space="preserve">CRISTALOGRAFIA</t>
  </si>
  <si>
    <t xml:space="preserve">GRAM</t>
  </si>
  <si>
    <t xml:space="preserve">FRESCO</t>
  </si>
  <si>
    <t xml:space="preserve">ESTUDIO MICOLÓGICO (KOH) DE:</t>
  </si>
  <si>
    <t xml:space="preserve">BIOLOGÍA MOLECULAR Y GENÉTICA</t>
  </si>
  <si>
    <t xml:space="preserve">CULTIVO MICÓTICO DE:</t>
  </si>
  <si>
    <t xml:space="preserve">INVESTIGACIÓN PARAGONIMUS SPP</t>
  </si>
  <si>
    <t xml:space="preserve">COLORACIÓN ZHIEL-NIELSSEN</t>
  </si>
  <si>
    <t xml:space="preserve">INVESTIGACIÓN HISTOPLASMA SPP</t>
  </si>
  <si>
    <t xml:space="preserve">D. DATOS DEL PROFESIONAL RESPONSABLE</t>
  </si>
  <si>
    <r>
      <rPr>
        <b val="true"/>
        <sz val="6"/>
        <rFont val="Arial"/>
        <family val="2"/>
      </rPr>
      <t xml:space="preserve">FECHA GENERACIÓN PEDIDO 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</si>
  <si>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 GENERACIÓN DEL PEDIDO </t>
    </r>
    <r>
      <rPr>
        <sz val="6"/>
        <rFont val="Arial"/>
        <family val="2"/>
      </rPr>
      <t xml:space="preserve">(hh:mm)</t>
    </r>
  </si>
  <si>
    <r>
      <rPr>
        <b val="true"/>
        <sz val="6"/>
        <rFont val="Arial"/>
        <family val="2"/>
      </rPr>
      <t xml:space="preserve">FECHA DE TOMA DE MUESTRA 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</si>
  <si>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 DE TOMA DE MUESTRA </t>
    </r>
    <r>
      <rPr>
        <sz val="6"/>
        <rFont val="Arial"/>
        <family val="2"/>
      </rPr>
      <t xml:space="preserve">(hh:mm)</t>
    </r>
  </si>
  <si>
    <t xml:space="preserve">NOMBRE Y APELLIDO DE LA PERSONA QUE TOMA LA MUESTRA</t>
  </si>
  <si>
    <t xml:space="preserve">SNS-MSP/HCU-form.010A/2021</t>
  </si>
  <si>
    <t xml:space="preserve">LABORATORIO CLÍNICO - SOLICITUD (1)</t>
  </si>
  <si>
    <t xml:space="preserve">x</t>
  </si>
  <si>
    <t xml:space="preserve">CONTROL</t>
  </si>
  <si>
    <t xml:space="preserve">C. ESTUDIO DE IMAGENOLOGÍA SOLICITADO</t>
  </si>
  <si>
    <t xml:space="preserve">RX CONVENCIONAL</t>
  </si>
  <si>
    <t xml:space="preserve">RX
PORTÁTIL</t>
  </si>
  <si>
    <t xml:space="preserve">TOMOGRAFÍA</t>
  </si>
  <si>
    <t xml:space="preserve">RESONANCIA</t>
  </si>
  <si>
    <t xml:space="preserve">ECOGRAFÍA</t>
  </si>
  <si>
    <t xml:space="preserve">MAMOGRAFÍA</t>
  </si>
  <si>
    <t xml:space="preserve">PROCEDIMIENTO</t>
  </si>
  <si>
    <t xml:space="preserve">OTRO</t>
  </si>
  <si>
    <t xml:space="preserve">SEDACIÓN</t>
  </si>
  <si>
    <t xml:space="preserve">DESCRIPCIÓN</t>
  </si>
  <si>
    <t xml:space="preserve"> </t>
  </si>
  <si>
    <t xml:space="preserve">D. MOTIVO DE LA SOLICITUD</t>
  </si>
  <si>
    <t xml:space="preserve">REGISTRAR LAS RAZONES PARA SOLICITAR EL ESTUDIO</t>
  </si>
  <si>
    <r>
      <rPr>
        <b val="true"/>
        <sz val="6"/>
        <rFont val="Arial"/>
        <family val="2"/>
      </rPr>
      <t xml:space="preserve">FUM
</t>
    </r>
    <r>
      <rPr>
        <sz val="6"/>
        <rFont val="Arial"/>
        <family val="2"/>
      </rPr>
      <t xml:space="preserve">(aaaa-mm-dd)</t>
    </r>
  </si>
  <si>
    <t xml:space="preserve">PACIENTE CONTAMINADO</t>
  </si>
  <si>
    <t xml:space="preserve">E. RESUMEN CLÍNICO ACTUAL</t>
  </si>
  <si>
    <t xml:space="preserve">REGISTRAR DE MANERA OBLIGATORIA EL CUADRO CLÍNICO ACTUAL DEL PACIENTE</t>
  </si>
  <si>
    <t xml:space="preserve">F. DIAGNÓSTICO</t>
  </si>
  <si>
    <t xml:space="preserve">PRE= PRESUNTIVO          DEF= DEFINITIVO</t>
  </si>
  <si>
    <t xml:space="preserve">SNS-MSP/HCU-form.012A/2021</t>
  </si>
  <si>
    <t xml:space="preserve">IMAGENOLOGÍA - SOLICITUD</t>
  </si>
  <si>
    <t xml:space="preserve">MEDISUPORT INTERNATIONAL</t>
  </si>
  <si>
    <t xml:space="preserve">Ciudad:</t>
  </si>
  <si>
    <t xml:space="preserve">Quito</t>
  </si>
  <si>
    <t xml:space="preserve">Fecha</t>
  </si>
  <si>
    <t xml:space="preserve">RECETA Nº</t>
  </si>
  <si>
    <t xml:space="preserve">0001</t>
  </si>
  <si>
    <t xml:space="preserve">DATOS DEL PACIENTE</t>
  </si>
  <si>
    <t xml:space="preserve">Nombre del paciente</t>
  </si>
  <si>
    <t xml:space="preserve">H. CLINICA</t>
  </si>
  <si>
    <t xml:space="preserve">CIE10</t>
  </si>
  <si>
    <t xml:space="preserve">CI/PASAPORTE</t>
  </si>
  <si>
    <t xml:space="preserve">RECETA DE MEDICAMENTOS</t>
  </si>
  <si>
    <t xml:space="preserve">Agudo                 </t>
  </si>
  <si>
    <t xml:space="preserve">Crónico</t>
  </si>
  <si>
    <t xml:space="preserve">Alergias: NO</t>
  </si>
  <si>
    <t xml:space="preserve">Nombre genérico o DCI, Concentración, Forma farmacéutica, Cantidad en números y letras</t>
  </si>
  <si>
    <t xml:space="preserve">DOSIS:</t>
  </si>
  <si>
    <t xml:space="preserve">FRECUENCIA:</t>
  </si>
  <si>
    <t xml:space="preserve">DURACIÓN: </t>
  </si>
  <si>
    <t xml:space="preserve">HORARIO</t>
  </si>
  <si>
    <t xml:space="preserve">DATOS DEL MÉDICO</t>
  </si>
  <si>
    <t xml:space="preserve">Espacio para el sello y firma del prescriptor (nombre, apellido, especialidad, libro, folio y número)</t>
  </si>
  <si>
    <t xml:space="preserve">Nombre</t>
  </si>
  <si>
    <t xml:space="preserve">DR. FRANK MEDINA</t>
  </si>
  <si>
    <t xml:space="preserve">Sello y firma</t>
  </si>
  <si>
    <t xml:space="preserve">Especialidad</t>
  </si>
  <si>
    <t xml:space="preserve">Número</t>
  </si>
  <si>
    <t xml:space="preserve">INDICACIONES</t>
  </si>
  <si>
    <t xml:space="preserve">Nombre paciente</t>
  </si>
  <si>
    <t xml:space="preserve">Instrucciones para la administración del/los medicamentos</t>
  </si>
  <si>
    <t xml:space="preserve">ADVERTENCIAS: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</si>
</sst>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\ [$€]_-;\-* #,##0.00\ [$€]_-;_-* \-??\ [$€]_-;_-@_-"/>
    <numFmt numFmtId="166" formatCode="_-* #,##0\ _P_t_s_-;\-* #,##0\ _P_t_s_-;_-* &quot;- &quot;_P_t_s_-;_-@_-"/>
    <numFmt numFmtId="167" formatCode="@"/>
    <numFmt numFmtId="168" formatCode="[$-409]m/d/yyyy"/>
    <numFmt numFmtId="169" formatCode="[$-F400]h:mm:ss\ AM/PM"/>
    <numFmt numFmtId="170" formatCode="0"/>
    <numFmt numFmtId="171" formatCode="000\-00\-0000"/>
    <numFmt numFmtId="172" formatCode="dd/mm/yyyy"/>
    <numFmt numFmtId="173" formatCode="0.00"/>
  </numFmts>
  <fonts count="5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2"/>
      <name val="Arial"/>
      <family val="2"/>
    </font>
    <font>
      <b val="true"/>
      <sz val="8"/>
      <name val="Arial"/>
      <family val="2"/>
    </font>
    <font>
      <b val="true"/>
      <sz val="7"/>
      <name val="Arial"/>
      <family val="2"/>
    </font>
    <font>
      <b val="true"/>
      <sz val="9"/>
      <color rgb="FF000000"/>
      <name val="Arial"/>
      <family val="2"/>
    </font>
    <font>
      <sz val="11"/>
      <color rgb="FF000000"/>
      <name val="Arial"/>
      <family val="2"/>
    </font>
    <font>
      <b val="true"/>
      <sz val="11"/>
      <name val="Arial"/>
      <family val="2"/>
    </font>
    <font>
      <sz val="7"/>
      <name val="Arial"/>
      <family val="2"/>
    </font>
    <font>
      <b val="true"/>
      <sz val="9"/>
      <name val="Arial"/>
      <family val="2"/>
    </font>
    <font>
      <sz val="8"/>
      <name val="Arial"/>
      <family val="2"/>
    </font>
    <font>
      <b val="true"/>
      <sz val="10"/>
      <name val="Arial"/>
      <family val="2"/>
    </font>
    <font>
      <sz val="8"/>
      <color rgb="FFFF0000"/>
      <name val="Arial"/>
      <family val="2"/>
    </font>
    <font>
      <sz val="5"/>
      <name val="Arial"/>
      <family val="2"/>
    </font>
    <font>
      <b val="true"/>
      <sz val="5"/>
      <color rgb="FF000000"/>
      <name val="Arial"/>
      <family val="2"/>
    </font>
    <font>
      <sz val="5"/>
      <color rgb="FF000000"/>
      <name val="Arial"/>
      <family val="2"/>
    </font>
    <font>
      <b val="true"/>
      <sz val="14"/>
      <color rgb="FFFF0000"/>
      <name val="Arial"/>
      <family val="2"/>
    </font>
    <font>
      <b val="true"/>
      <u val="single"/>
      <sz val="5"/>
      <color rgb="FF000000"/>
      <name val="Arial"/>
      <family val="2"/>
    </font>
    <font>
      <u val="single"/>
      <sz val="5"/>
      <color rgb="FF000000"/>
      <name val="Arial"/>
      <family val="2"/>
    </font>
    <font>
      <sz val="8"/>
      <color rgb="FF000000"/>
      <name val="Arial"/>
      <family val="2"/>
    </font>
    <font>
      <sz val="6"/>
      <name val="Arial"/>
      <family val="2"/>
    </font>
    <font>
      <b val="true"/>
      <vertAlign val="superscript"/>
      <sz val="8"/>
      <name val="Arial"/>
      <family val="2"/>
    </font>
    <font>
      <b val="true"/>
      <sz val="6"/>
      <name val="Arial"/>
      <family val="2"/>
    </font>
    <font>
      <sz val="6"/>
      <color rgb="FFFF0000"/>
      <name val="Arial"/>
      <family val="2"/>
    </font>
    <font>
      <b val="true"/>
      <sz val="8"/>
      <color rgb="FF000000"/>
      <name val="Arial"/>
      <family val="2"/>
    </font>
    <font>
      <b val="true"/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 val="true"/>
      <sz val="6"/>
      <color rgb="FFFF0000"/>
      <name val="Arial"/>
      <family val="2"/>
    </font>
    <font>
      <sz val="6"/>
      <color rgb="FF000000"/>
      <name val="Arial"/>
      <family val="2"/>
    </font>
    <font>
      <b val="true"/>
      <sz val="6"/>
      <color rgb="FF000000"/>
      <name val="Arial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b val="true"/>
      <sz val="8"/>
      <name val="Tahoma"/>
      <family val="2"/>
    </font>
    <font>
      <b val="true"/>
      <sz val="7"/>
      <color rgb="FFFF0000"/>
      <name val="Arial"/>
      <family val="2"/>
    </font>
    <font>
      <b val="true"/>
      <sz val="8"/>
      <color rgb="FFFF0000"/>
      <name val="Arial"/>
      <family val="2"/>
    </font>
    <font>
      <b val="true"/>
      <sz val="11"/>
      <color rgb="FF000000"/>
      <name val="Calibri"/>
      <family val="2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FF0000"/>
      <name val="Arial"/>
      <family val="2"/>
    </font>
    <font>
      <b val="true"/>
      <sz val="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99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/>
      <diagonal/>
    </border>
    <border diagonalUp="false" diagonalDown="false">
      <left style="thick">
        <color rgb="FF333333"/>
      </left>
      <right style="thick">
        <color rgb="FF333333"/>
      </right>
      <top style="thin"/>
      <bottom style="thin"/>
      <diagonal/>
    </border>
    <border diagonalUp="false" diagonalDown="false">
      <left style="thick">
        <color rgb="FF333333"/>
      </left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ck">
        <color rgb="FF333333"/>
      </right>
      <top/>
      <bottom style="thin"/>
      <diagonal/>
    </border>
    <border diagonalUp="false" diagonalDown="false">
      <left style="thick">
        <color rgb="FF333333"/>
      </left>
      <right style="thin"/>
      <top style="thin"/>
      <bottom style="thick">
        <color rgb="FF333333"/>
      </bottom>
      <diagonal/>
    </border>
    <border diagonalUp="false" diagonalDown="false">
      <left style="thin"/>
      <right style="thin"/>
      <top style="thin"/>
      <bottom style="thick">
        <color rgb="FF333333"/>
      </bottom>
      <diagonal/>
    </border>
    <border diagonalUp="false" diagonalDown="false">
      <left style="thin"/>
      <right style="thick">
        <color rgb="FF333333"/>
      </right>
      <top style="thin"/>
      <bottom style="thick">
        <color rgb="FF333333"/>
      </bottom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ck">
        <color rgb="FF808080"/>
      </top>
      <bottom/>
      <diagonal/>
    </border>
    <border diagonalUp="false" diagonalDown="false">
      <left style="thick">
        <color rgb="FF808080"/>
      </left>
      <right/>
      <top style="thick">
        <color rgb="FF808080"/>
      </top>
      <bottom/>
      <diagonal/>
    </border>
    <border diagonalUp="false" diagonalDown="false">
      <left/>
      <right style="thick">
        <color rgb="FF808080"/>
      </right>
      <top style="thick">
        <color rgb="FF808080"/>
      </top>
      <bottom style="medium">
        <color rgb="FF808080"/>
      </bottom>
      <diagonal/>
    </border>
    <border diagonalUp="false" diagonalDown="false">
      <left style="thick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ck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ck">
        <color rgb="FF333333"/>
      </left>
      <right style="thin">
        <color rgb="FF808080"/>
      </right>
      <top style="thick">
        <color rgb="FF333333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333333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333333"/>
      </right>
      <top style="thick">
        <color rgb="FF333333"/>
      </top>
      <bottom style="thin">
        <color rgb="FF808080"/>
      </bottom>
      <diagonal/>
    </border>
    <border diagonalUp="false" diagonalDown="false">
      <left style="thick">
        <color rgb="FF333333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333333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333333"/>
      </left>
      <right style="thin">
        <color rgb="FF808080"/>
      </right>
      <top style="thin">
        <color rgb="FF808080"/>
      </top>
      <bottom style="thick">
        <color rgb="FF333333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333333"/>
      </bottom>
      <diagonal/>
    </border>
    <border diagonalUp="false" diagonalDown="false">
      <left style="thin">
        <color rgb="FF808080"/>
      </left>
      <right style="thick">
        <color rgb="FF333333"/>
      </right>
      <top style="thin">
        <color rgb="FF808080"/>
      </top>
      <bottom style="thick">
        <color rgb="FF333333"/>
      </bottom>
      <diagonal/>
    </border>
    <border diagonalUp="false" diagonalDown="false">
      <left/>
      <right style="thick">
        <color rgb="FF808080"/>
      </right>
      <top style="thick">
        <color rgb="FF808080"/>
      </top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/>
      <right style="thick">
        <color rgb="FF808080"/>
      </right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ck">
        <color rgb="FF808080"/>
      </bottom>
      <diagonal/>
    </border>
    <border diagonalUp="false" diagonalDown="false">
      <left style="thin">
        <color rgb="FF333333"/>
      </left>
      <right/>
      <top/>
      <bottom style="thick">
        <color rgb="FF808080"/>
      </bottom>
      <diagonal/>
    </border>
    <border diagonalUp="false" diagonalDown="false">
      <left/>
      <right style="thick">
        <color rgb="FF808080"/>
      </right>
      <top/>
      <bottom style="thick">
        <color rgb="FF808080"/>
      </bottom>
      <diagonal/>
    </border>
    <border diagonalUp="false" diagonalDown="false">
      <left style="thick">
        <color rgb="FF333333"/>
      </left>
      <right/>
      <top style="thick">
        <color rgb="FF333333"/>
      </top>
      <bottom style="thick">
        <color rgb="FF333333"/>
      </bottom>
      <diagonal/>
    </border>
    <border diagonalUp="false" diagonalDown="false">
      <left/>
      <right/>
      <top style="thick">
        <color rgb="FF333333"/>
      </top>
      <bottom style="thick">
        <color rgb="FF333333"/>
      </bottom>
      <diagonal/>
    </border>
    <border diagonalUp="false" diagonalDown="false">
      <left/>
      <right style="thick">
        <color rgb="FF333333"/>
      </right>
      <top style="thick">
        <color rgb="FF333333"/>
      </top>
      <bottom style="thick">
        <color rgb="FF333333"/>
      </bottom>
      <diagonal/>
    </border>
    <border diagonalUp="false" diagonalDown="false">
      <left style="thick">
        <color rgb="FF808080"/>
      </left>
      <right style="thick">
        <color rgb="FF808080"/>
      </right>
      <top/>
      <bottom style="thin">
        <color rgb="FF808080"/>
      </bottom>
      <diagonal/>
    </border>
    <border diagonalUp="false" diagonalDown="false">
      <left style="thick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/>
      <bottom style="thin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Dashed"/>
      <diagonal/>
    </border>
    <border diagonalUp="false" diagonalDown="false">
      <left style="mediumDashed"/>
      <right style="mediumDashed"/>
      <top style="mediumDashed"/>
      <bottom style="mediumDashed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0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0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7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22" fillId="0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2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2" fillId="0" borderId="2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3" fillId="2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2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13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1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2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3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6" fillId="0" borderId="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25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25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3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3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3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3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2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3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38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3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4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3" borderId="4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4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4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42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3" borderId="4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4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3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4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2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5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2" borderId="5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5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5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2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3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5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2" borderId="5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25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5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5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4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8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5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8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5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5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2" fillId="0" borderId="5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2" fillId="0" borderId="6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6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8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5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5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30" fillId="0" borderId="5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6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5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6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9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0" borderId="6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6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6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6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6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6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6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6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6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6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27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0" borderId="28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4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2" borderId="58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5" fillId="2" borderId="2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2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2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8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5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2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5" xfId="2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5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1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2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11" xfId="2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11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6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6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6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6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36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36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3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7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5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3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3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5" borderId="3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4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5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6" borderId="4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5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6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3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3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6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4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6" borderId="4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4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2" borderId="7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7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7" fillId="5" borderId="4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37" fillId="5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5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6" borderId="4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3" fillId="6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6" borderId="4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31" fillId="0" borderId="3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4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31" fillId="0" borderId="4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6" borderId="3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6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7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6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3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7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7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5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6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3" fillId="0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3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5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8" fillId="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0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7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0" fillId="0" borderId="7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8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8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8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0" fillId="0" borderId="8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8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8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9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9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9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7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0" fillId="0" borderId="5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9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3" fillId="0" borderId="9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0" borderId="9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0" borderId="8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5" fillId="0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5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0" borderId="9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9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8" fillId="0" borderId="8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49" fillId="0" borderId="97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7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49" fillId="6" borderId="98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40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8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9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4" fillId="0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0" fillId="0" borderId="8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2" xfId="21"/>
    <cellStyle name="Euro 3" xfId="22"/>
    <cellStyle name="Millares [0] 2" xfId="23"/>
    <cellStyle name="Normal 2" xfId="24"/>
    <cellStyle name="Normal 3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externalLink" Target="externalLinks/externalLink1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3</xdr:col>
      <xdr:colOff>342720</xdr:colOff>
      <xdr:row>5</xdr:row>
      <xdr:rowOff>114120</xdr:rowOff>
    </xdr:to>
    <xdr:grpSp>
      <xdr:nvGrpSpPr>
        <xdr:cNvPr id="0" name="Group 10"/>
        <xdr:cNvGrpSpPr/>
      </xdr:nvGrpSpPr>
      <xdr:grpSpPr>
        <a:xfrm>
          <a:off x="79920" y="523800"/>
          <a:ext cx="1459080" cy="466560"/>
          <a:chOff x="79920" y="523800"/>
          <a:chExt cx="1459080" cy="466560"/>
        </a:xfrm>
      </xdr:grpSpPr>
      <xdr:sp>
        <xdr:nvSpPr>
          <xdr:cNvPr id="1" name="Graphic 11"/>
          <xdr:cNvSpPr/>
        </xdr:nvSpPr>
        <xdr:spPr>
          <a:xfrm>
            <a:off x="586080" y="585360"/>
            <a:ext cx="952920" cy="405000"/>
          </a:xfrm>
          <a:custGeom>
            <a:avLst/>
            <a:gdLst>
              <a:gd name="GluePoint1X" fmla="*/ 205597 w 938530"/>
              <a:gd name="GluePoint1Y" fmla="*/ 794612 h 904240"/>
              <a:gd name="GluePoint2X" fmla="*/ 199329 w 938530"/>
              <a:gd name="GluePoint2Y" fmla="*/ 818230 h 904240"/>
              <a:gd name="GluePoint3X" fmla="*/ 358968 w 938530"/>
              <a:gd name="GluePoint3Y" fmla="*/ 891685 h 904240"/>
              <a:gd name="GluePoint4X" fmla="*/ 517161 w 938530"/>
              <a:gd name="GluePoint4Y" fmla="*/ 901905 h 904240"/>
              <a:gd name="GluePoint5X" fmla="*/ 651820 w 938530"/>
              <a:gd name="GluePoint5Y" fmla="*/ 868711 h 904240"/>
              <a:gd name="GluePoint6X" fmla="*/ 385682 w 938530"/>
              <a:gd name="GluePoint6Y" fmla="*/ 852047 h 904240"/>
              <a:gd name="GluePoint7X" fmla="*/ 235737 w 938530"/>
              <a:gd name="GluePoint7Y" fmla="*/ 802627 h 904240"/>
              <a:gd name="GluePoint8X" fmla="*/ 214344 w 938530"/>
              <a:gd name="GluePoint8Y" fmla="*/ 794155 h 904240"/>
              <a:gd name="GluePoint9X" fmla="*/ 488507 w 938530"/>
              <a:gd name="GluePoint9Y" fmla="*/ 69088 h 904240"/>
              <a:gd name="GluePoint10X" fmla="*/ 620830 w 938530"/>
              <a:gd name="GluePoint10Y" fmla="*/ 106538 h 904240"/>
              <a:gd name="GluePoint11X" fmla="*/ 730296 w 938530"/>
              <a:gd name="GluePoint11Y" fmla="*/ 182002 h 904240"/>
              <a:gd name="GluePoint12X" fmla="*/ 808608 w 938530"/>
              <a:gd name="GluePoint12Y" fmla="*/ 287484 h 904240"/>
              <a:gd name="GluePoint13X" fmla="*/ 847472 w 938530"/>
              <a:gd name="GluePoint13Y" fmla="*/ 414993 h 904240"/>
              <a:gd name="GluePoint14X" fmla="*/ 839412 w 938530"/>
              <a:gd name="GluePoint14Y" fmla="*/ 551482 h 904240"/>
              <a:gd name="GluePoint15X" fmla="*/ 786477 w 938530"/>
              <a:gd name="GluePoint15Y" fmla="*/ 672538 h 904240"/>
              <a:gd name="GluePoint16X" fmla="*/ 730296 w 938530"/>
              <a:gd name="GluePoint16Y" fmla="*/ 740017 h 904240"/>
              <a:gd name="GluePoint17X" fmla="*/ 620830 w 938530"/>
              <a:gd name="GluePoint17Y" fmla="*/ 815481 h 904240"/>
              <a:gd name="GluePoint18X" fmla="*/ 488507 w 938530"/>
              <a:gd name="GluePoint18Y" fmla="*/ 852931 h 904240"/>
              <a:gd name="GluePoint19X" fmla="*/ 731518 w 938530"/>
              <a:gd name="GluePoint19Y" fmla="*/ 827027 h 904240"/>
              <a:gd name="GluePoint20X" fmla="*/ 831239 w 938530"/>
              <a:gd name="GluePoint20Y" fmla="*/ 739713 h 904240"/>
              <a:gd name="GluePoint21X" fmla="*/ 901507 w 938530"/>
              <a:gd name="GluePoint21Y" fmla="*/ 628109 h 904240"/>
              <a:gd name="GluePoint22X" fmla="*/ 935955 w 938530"/>
              <a:gd name="GluePoint22Y" fmla="*/ 498348 h 904240"/>
              <a:gd name="GluePoint23X" fmla="*/ 928845 w 938530"/>
              <a:gd name="GluePoint23Y" fmla="*/ 361003 h 904240"/>
              <a:gd name="GluePoint24X" fmla="*/ 881750 w 938530"/>
              <a:gd name="GluePoint24Y" fmla="*/ 236614 h 904240"/>
              <a:gd name="GluePoint25X" fmla="*/ 800957 w 938530"/>
              <a:gd name="GluePoint25Y" fmla="*/ 132424 h 904240"/>
              <a:gd name="GluePoint26X" fmla="*/ 713100 w 938530"/>
              <a:gd name="GluePoint26Y" fmla="*/ 66433 h 904240"/>
              <a:gd name="GluePoint27X" fmla="*/ 374629 w 938530"/>
              <a:gd name="GluePoint27Y" fmla="*/ 9185 h 904240"/>
              <a:gd name="GluePoint28X" fmla="*/ 245543 w 938530"/>
              <a:gd name="GluePoint28Y" fmla="*/ 54569 h 904240"/>
              <a:gd name="GluePoint29X" fmla="*/ 137420 w 938530"/>
              <a:gd name="GluePoint29Y" fmla="*/ 132424 h 904240"/>
              <a:gd name="GluePoint30X" fmla="*/ 56627 w 938530"/>
              <a:gd name="GluePoint30Y" fmla="*/ 236614 h 904240"/>
              <a:gd name="GluePoint31X" fmla="*/ 9532 w 938530"/>
              <a:gd name="GluePoint31Y" fmla="*/ 361003 h 904240"/>
              <a:gd name="GluePoint32X" fmla="*/ 3137 w 938530"/>
              <a:gd name="GluePoint32Y" fmla="*/ 504677 h 904240"/>
              <a:gd name="GluePoint33X" fmla="*/ 47405 w 938530"/>
              <a:gd name="GluePoint33Y" fmla="*/ 650351 h 904240"/>
              <a:gd name="GluePoint34X" fmla="*/ 103759 w 938530"/>
              <a:gd name="GluePoint34Y" fmla="*/ 727887 h 904240"/>
              <a:gd name="GluePoint35X" fmla="*/ 116230 w 938530"/>
              <a:gd name="GluePoint35Y" fmla="*/ 711936 h 904240"/>
              <a:gd name="GluePoint36X" fmla="*/ 65232 w 938530"/>
              <a:gd name="GluePoint36Y" fmla="*/ 618538 h 904240"/>
              <a:gd name="GluePoint37X" fmla="*/ 31280 w 938530"/>
              <a:gd name="GluePoint37Y" fmla="*/ 461009 h 904240"/>
              <a:gd name="GluePoint38X" fmla="*/ 55151 w 938530"/>
              <a:gd name="GluePoint38Y" fmla="*/ 327935 h 904240"/>
              <a:gd name="GluePoint39X" fmla="*/ 121235 w 938530"/>
              <a:gd name="GluePoint39Y" fmla="*/ 214222 h 904240"/>
              <a:gd name="GluePoint40X" fmla="*/ 221238 w 938530"/>
              <a:gd name="GluePoint40Y" fmla="*/ 127864 h 904240"/>
              <a:gd name="GluePoint41X" fmla="*/ 346864 w 938530"/>
              <a:gd name="GluePoint41Y" fmla="*/ 76854 h 904240"/>
              <a:gd name="GluePoint42X" fmla="*/ 713100 w 938530"/>
              <a:gd name="GluePoint42Y" fmla="*/ 66433 h 904240"/>
              <a:gd name="GluePoint43X" fmla="*/ 608713 w 938530"/>
              <a:gd name="GluePoint43Y" fmla="*/ 20326 h 904240"/>
              <a:gd name="GluePoint44X" fmla="*/ 469188 w 938530"/>
              <a:gd name="GluePoint44Y" fmla="*/ 0 h 904240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  <a:cxn ang="0">
                <a:pos x="GluePoint26X" y="GluePoint26Y"/>
              </a:cxn>
              <a:cxn ang="0">
                <a:pos x="GluePoint27X" y="GluePoint27Y"/>
              </a:cxn>
              <a:cxn ang="0">
                <a:pos x="GluePoint28X" y="GluePoint28Y"/>
              </a:cxn>
              <a:cxn ang="0">
                <a:pos x="GluePoint29X" y="GluePoint29Y"/>
              </a:cxn>
              <a:cxn ang="0">
                <a:pos x="GluePoint30X" y="GluePoint30Y"/>
              </a:cxn>
              <a:cxn ang="0">
                <a:pos x="GluePoint31X" y="GluePoint31Y"/>
              </a:cxn>
              <a:cxn ang="0">
                <a:pos x="GluePoint32X" y="GluePoint32Y"/>
              </a:cxn>
              <a:cxn ang="0">
                <a:pos x="GluePoint33X" y="GluePoint33Y"/>
              </a:cxn>
              <a:cxn ang="0">
                <a:pos x="GluePoint34X" y="GluePoint34Y"/>
              </a:cxn>
              <a:cxn ang="0">
                <a:pos x="GluePoint35X" y="GluePoint35Y"/>
              </a:cxn>
              <a:cxn ang="0">
                <a:pos x="GluePoint36X" y="GluePoint36Y"/>
              </a:cxn>
              <a:cxn ang="0">
                <a:pos x="GluePoint37X" y="GluePoint37Y"/>
              </a:cxn>
              <a:cxn ang="0">
                <a:pos x="GluePoint38X" y="GluePoint38Y"/>
              </a:cxn>
              <a:cxn ang="0">
                <a:pos x="GluePoint39X" y="GluePoint39Y"/>
              </a:cxn>
              <a:cxn ang="0">
                <a:pos x="GluePoint40X" y="GluePoint40Y"/>
              </a:cxn>
              <a:cxn ang="0">
                <a:pos x="GluePoint41X" y="GluePoint41Y"/>
              </a:cxn>
              <a:cxn ang="0">
                <a:pos x="GluePoint42X" y="GluePoint42Y"/>
              </a:cxn>
              <a:cxn ang="0">
                <a:pos x="GluePoint43X" y="GluePoint43Y"/>
              </a:cxn>
              <a:cxn ang="0">
                <a:pos x="GluePoint44X" y="GluePoint44Y"/>
              </a:cxn>
            </a:cxnLst>
            <a:rect l="l" t="t" r="r" b="b"/>
            <a:pathLst>
              <a:path w="938530" h="904240">
                <a:moveTo>
                  <a:pt x="214344" y="794155"/>
                </a:moveTo>
                <a:lnTo>
                  <a:pt x="212198" y="794155"/>
                </a:lnTo>
                <a:lnTo>
                  <a:pt x="205597" y="794612"/>
                </a:lnTo>
                <a:lnTo>
                  <a:pt x="198247" y="798893"/>
                </a:lnTo>
                <a:lnTo>
                  <a:pt x="194811" y="808565"/>
                </a:lnTo>
                <a:lnTo>
                  <a:pt x="199329" y="818230"/>
                </a:lnTo>
                <a:lnTo>
                  <a:pt x="258105" y="855985"/>
                </a:lnTo>
                <a:lnTo>
                  <a:pt x="307178" y="876544"/>
                </a:lnTo>
                <a:lnTo>
                  <a:pt x="358968" y="891685"/>
                </a:lnTo>
                <a:lnTo>
                  <a:pt x="413098" y="901040"/>
                </a:lnTo>
                <a:lnTo>
                  <a:pt x="469188" y="904240"/>
                </a:lnTo>
                <a:lnTo>
                  <a:pt x="517161" y="901905"/>
                </a:lnTo>
                <a:lnTo>
                  <a:pt x="563748" y="895054"/>
                </a:lnTo>
                <a:lnTo>
                  <a:pt x="608713" y="883914"/>
                </a:lnTo>
                <a:lnTo>
                  <a:pt x="651820" y="868711"/>
                </a:lnTo>
                <a:lnTo>
                  <a:pt x="680095" y="855586"/>
                </a:lnTo>
                <a:lnTo>
                  <a:pt x="440753" y="855586"/>
                </a:lnTo>
                <a:lnTo>
                  <a:pt x="385682" y="852047"/>
                </a:lnTo>
                <a:lnTo>
                  <a:pt x="332840" y="841736"/>
                </a:lnTo>
                <a:lnTo>
                  <a:pt x="282699" y="825111"/>
                </a:lnTo>
                <a:lnTo>
                  <a:pt x="235737" y="802627"/>
                </a:lnTo>
                <a:lnTo>
                  <a:pt x="229168" y="798893"/>
                </a:lnTo>
                <a:lnTo>
                  <a:pt x="221971" y="795871"/>
                </a:lnTo>
                <a:lnTo>
                  <a:pt x="214344" y="794155"/>
                </a:lnTo>
                <a:close/>
              </a:path>
              <a:path w="938530" h="904240">
                <a:moveTo>
                  <a:pt x="713100" y="66433"/>
                </a:moveTo>
                <a:lnTo>
                  <a:pt x="440753" y="66433"/>
                </a:lnTo>
                <a:lnTo>
                  <a:pt x="488507" y="69088"/>
                </a:lnTo>
                <a:lnTo>
                  <a:pt x="534642" y="76854"/>
                </a:lnTo>
                <a:lnTo>
                  <a:pt x="578853" y="89436"/>
                </a:lnTo>
                <a:lnTo>
                  <a:pt x="620830" y="106538"/>
                </a:lnTo>
                <a:lnTo>
                  <a:pt x="660268" y="127864"/>
                </a:lnTo>
                <a:lnTo>
                  <a:pt x="696859" y="153117"/>
                </a:lnTo>
                <a:lnTo>
                  <a:pt x="730296" y="182002"/>
                </a:lnTo>
                <a:lnTo>
                  <a:pt x="760271" y="214222"/>
                </a:lnTo>
                <a:lnTo>
                  <a:pt x="786477" y="249481"/>
                </a:lnTo>
                <a:lnTo>
                  <a:pt x="808608" y="287484"/>
                </a:lnTo>
                <a:lnTo>
                  <a:pt x="826355" y="327935"/>
                </a:lnTo>
                <a:lnTo>
                  <a:pt x="839412" y="370537"/>
                </a:lnTo>
                <a:lnTo>
                  <a:pt x="847472" y="414993"/>
                </a:lnTo>
                <a:lnTo>
                  <a:pt x="850226" y="461009"/>
                </a:lnTo>
                <a:lnTo>
                  <a:pt x="847472" y="507026"/>
                </a:lnTo>
                <a:lnTo>
                  <a:pt x="839412" y="551482"/>
                </a:lnTo>
                <a:lnTo>
                  <a:pt x="826355" y="594084"/>
                </a:lnTo>
                <a:lnTo>
                  <a:pt x="808608" y="634535"/>
                </a:lnTo>
                <a:lnTo>
                  <a:pt x="786477" y="672538"/>
                </a:lnTo>
                <a:lnTo>
                  <a:pt x="760375" y="707656"/>
                </a:lnTo>
                <a:lnTo>
                  <a:pt x="760271" y="707797"/>
                </a:lnTo>
                <a:lnTo>
                  <a:pt x="730296" y="740017"/>
                </a:lnTo>
                <a:lnTo>
                  <a:pt x="696859" y="768902"/>
                </a:lnTo>
                <a:lnTo>
                  <a:pt x="660268" y="794155"/>
                </a:lnTo>
                <a:lnTo>
                  <a:pt x="620830" y="815481"/>
                </a:lnTo>
                <a:lnTo>
                  <a:pt x="578853" y="832583"/>
                </a:lnTo>
                <a:lnTo>
                  <a:pt x="534642" y="845165"/>
                </a:lnTo>
                <a:lnTo>
                  <a:pt x="488507" y="852931"/>
                </a:lnTo>
                <a:lnTo>
                  <a:pt x="440753" y="855586"/>
                </a:lnTo>
                <a:lnTo>
                  <a:pt x="680095" y="855586"/>
                </a:lnTo>
                <a:lnTo>
                  <a:pt x="731518" y="827027"/>
                </a:lnTo>
                <a:lnTo>
                  <a:pt x="767638" y="801000"/>
                </a:lnTo>
                <a:lnTo>
                  <a:pt x="800957" y="771820"/>
                </a:lnTo>
                <a:lnTo>
                  <a:pt x="831239" y="739713"/>
                </a:lnTo>
                <a:lnTo>
                  <a:pt x="858248" y="704908"/>
                </a:lnTo>
                <a:lnTo>
                  <a:pt x="881750" y="667630"/>
                </a:lnTo>
                <a:lnTo>
                  <a:pt x="901507" y="628109"/>
                </a:lnTo>
                <a:lnTo>
                  <a:pt x="917284" y="586569"/>
                </a:lnTo>
                <a:lnTo>
                  <a:pt x="928845" y="543240"/>
                </a:lnTo>
                <a:lnTo>
                  <a:pt x="935955" y="498348"/>
                </a:lnTo>
                <a:lnTo>
                  <a:pt x="938377" y="452120"/>
                </a:lnTo>
                <a:lnTo>
                  <a:pt x="935955" y="405894"/>
                </a:lnTo>
                <a:lnTo>
                  <a:pt x="928845" y="361003"/>
                </a:lnTo>
                <a:lnTo>
                  <a:pt x="917284" y="317674"/>
                </a:lnTo>
                <a:lnTo>
                  <a:pt x="901507" y="276136"/>
                </a:lnTo>
                <a:lnTo>
                  <a:pt x="881750" y="236614"/>
                </a:lnTo>
                <a:lnTo>
                  <a:pt x="858248" y="199337"/>
                </a:lnTo>
                <a:lnTo>
                  <a:pt x="831239" y="164531"/>
                </a:lnTo>
                <a:lnTo>
                  <a:pt x="800957" y="132424"/>
                </a:lnTo>
                <a:lnTo>
                  <a:pt x="767638" y="103243"/>
                </a:lnTo>
                <a:lnTo>
                  <a:pt x="731518" y="77216"/>
                </a:lnTo>
                <a:lnTo>
                  <a:pt x="713100" y="66433"/>
                </a:lnTo>
                <a:close/>
              </a:path>
              <a:path w="938530" h="904240">
                <a:moveTo>
                  <a:pt x="469188" y="0"/>
                </a:moveTo>
                <a:lnTo>
                  <a:pt x="421216" y="2334"/>
                </a:lnTo>
                <a:lnTo>
                  <a:pt x="374629" y="9185"/>
                </a:lnTo>
                <a:lnTo>
                  <a:pt x="329664" y="20326"/>
                </a:lnTo>
                <a:lnTo>
                  <a:pt x="286557" y="35530"/>
                </a:lnTo>
                <a:lnTo>
                  <a:pt x="245543" y="54569"/>
                </a:lnTo>
                <a:lnTo>
                  <a:pt x="206858" y="77216"/>
                </a:lnTo>
                <a:lnTo>
                  <a:pt x="170739" y="103243"/>
                </a:lnTo>
                <a:lnTo>
                  <a:pt x="137420" y="132424"/>
                </a:lnTo>
                <a:lnTo>
                  <a:pt x="107138" y="164531"/>
                </a:lnTo>
                <a:lnTo>
                  <a:pt x="80128" y="199337"/>
                </a:lnTo>
                <a:lnTo>
                  <a:pt x="56627" y="236614"/>
                </a:lnTo>
                <a:lnTo>
                  <a:pt x="36870" y="276136"/>
                </a:lnTo>
                <a:lnTo>
                  <a:pt x="21093" y="317674"/>
                </a:lnTo>
                <a:lnTo>
                  <a:pt x="9532" y="361003"/>
                </a:lnTo>
                <a:lnTo>
                  <a:pt x="2422" y="405894"/>
                </a:lnTo>
                <a:lnTo>
                  <a:pt x="0" y="452120"/>
                </a:lnTo>
                <a:lnTo>
                  <a:pt x="3137" y="504677"/>
                </a:lnTo>
                <a:lnTo>
                  <a:pt x="12318" y="555458"/>
                </a:lnTo>
                <a:lnTo>
                  <a:pt x="27190" y="604127"/>
                </a:lnTo>
                <a:lnTo>
                  <a:pt x="47405" y="650351"/>
                </a:lnTo>
                <a:lnTo>
                  <a:pt x="72613" y="693795"/>
                </a:lnTo>
                <a:lnTo>
                  <a:pt x="102463" y="734123"/>
                </a:lnTo>
                <a:lnTo>
                  <a:pt x="103759" y="727887"/>
                </a:lnTo>
                <a:lnTo>
                  <a:pt x="106108" y="720153"/>
                </a:lnTo>
                <a:lnTo>
                  <a:pt x="111544" y="716076"/>
                </a:lnTo>
                <a:lnTo>
                  <a:pt x="116230" y="711936"/>
                </a:lnTo>
                <a:lnTo>
                  <a:pt x="121158" y="707656"/>
                </a:lnTo>
                <a:lnTo>
                  <a:pt x="90221" y="665026"/>
                </a:lnTo>
                <a:lnTo>
                  <a:pt x="65232" y="618538"/>
                </a:lnTo>
                <a:lnTo>
                  <a:pt x="46724" y="568699"/>
                </a:lnTo>
                <a:lnTo>
                  <a:pt x="35230" y="516020"/>
                </a:lnTo>
                <a:lnTo>
                  <a:pt x="31280" y="461009"/>
                </a:lnTo>
                <a:lnTo>
                  <a:pt x="34034" y="414993"/>
                </a:lnTo>
                <a:lnTo>
                  <a:pt x="42094" y="370537"/>
                </a:lnTo>
                <a:lnTo>
                  <a:pt x="55151" y="327935"/>
                </a:lnTo>
                <a:lnTo>
                  <a:pt x="72898" y="287484"/>
                </a:lnTo>
                <a:lnTo>
                  <a:pt x="95029" y="249481"/>
                </a:lnTo>
                <a:lnTo>
                  <a:pt x="121235" y="214222"/>
                </a:lnTo>
                <a:lnTo>
                  <a:pt x="151210" y="182002"/>
                </a:lnTo>
                <a:lnTo>
                  <a:pt x="184647" y="153117"/>
                </a:lnTo>
                <a:lnTo>
                  <a:pt x="221238" y="127864"/>
                </a:lnTo>
                <a:lnTo>
                  <a:pt x="260676" y="106538"/>
                </a:lnTo>
                <a:lnTo>
                  <a:pt x="302653" y="89436"/>
                </a:lnTo>
                <a:lnTo>
                  <a:pt x="346864" y="76854"/>
                </a:lnTo>
                <a:lnTo>
                  <a:pt x="392999" y="69088"/>
                </a:lnTo>
                <a:lnTo>
                  <a:pt x="440753" y="66433"/>
                </a:lnTo>
                <a:lnTo>
                  <a:pt x="713100" y="66433"/>
                </a:lnTo>
                <a:lnTo>
                  <a:pt x="692834" y="54569"/>
                </a:lnTo>
                <a:lnTo>
                  <a:pt x="651820" y="35530"/>
                </a:lnTo>
                <a:lnTo>
                  <a:pt x="608713" y="20326"/>
                </a:lnTo>
                <a:lnTo>
                  <a:pt x="563748" y="9185"/>
                </a:lnTo>
                <a:lnTo>
                  <a:pt x="517161" y="2334"/>
                </a:lnTo>
                <a:lnTo>
                  <a:pt x="469188" y="0"/>
                </a:lnTo>
                <a:close/>
              </a:path>
            </a:pathLst>
          </a:custGeom>
          <a:solidFill>
            <a:srgbClr val="282662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" name="Graphic 12"/>
          <xdr:cNvSpPr/>
        </xdr:nvSpPr>
        <xdr:spPr>
          <a:xfrm>
            <a:off x="776520" y="760680"/>
            <a:ext cx="579600" cy="148320"/>
          </a:xfrm>
          <a:custGeom>
            <a:avLst/>
            <a:gdLst>
              <a:gd name="GluePoint1X" fmla="*/ 0 w 570865"/>
              <a:gd name="GluePoint1Y" fmla="*/ 0 h 331470"/>
              <a:gd name="GluePoint2X" fmla="*/ 0 w 570865"/>
              <a:gd name="GluePoint2Y" fmla="*/ 155994 h 331470"/>
              <a:gd name="GluePoint3X" fmla="*/ 1487 w 570865"/>
              <a:gd name="GluePoint3Y" fmla="*/ 163107 h 331470"/>
              <a:gd name="GluePoint4X" fmla="*/ 5545 w 570865"/>
              <a:gd name="GluePoint4Y" fmla="*/ 168911 h 331470"/>
              <a:gd name="GluePoint5X" fmla="*/ 11567 w 570865"/>
              <a:gd name="GluePoint5Y" fmla="*/ 172822 h 331470"/>
              <a:gd name="GluePoint6X" fmla="*/ 18948 w 570865"/>
              <a:gd name="GluePoint6Y" fmla="*/ 174256 h 331470"/>
              <a:gd name="GluePoint7X" fmla="*/ 162991 w 570865"/>
              <a:gd name="GluePoint7Y" fmla="*/ 174256 h 331470"/>
              <a:gd name="GluePoint8X" fmla="*/ 162991 w 570865"/>
              <a:gd name="GluePoint8Y" fmla="*/ 313067 h 331470"/>
              <a:gd name="GluePoint9X" fmla="*/ 164480 w 570865"/>
              <a:gd name="GluePoint9Y" fmla="*/ 320175 h 331470"/>
              <a:gd name="GluePoint10X" fmla="*/ 168541 w 570865"/>
              <a:gd name="GluePoint10Y" fmla="*/ 325980 h 331470"/>
              <a:gd name="GluePoint11X" fmla="*/ 174564 w 570865"/>
              <a:gd name="GluePoint11Y" fmla="*/ 329894 h 331470"/>
              <a:gd name="GluePoint12X" fmla="*/ 181940 w 570865"/>
              <a:gd name="GluePoint12Y" fmla="*/ 331330 h 331470"/>
              <a:gd name="GluePoint13X" fmla="*/ 388531 w 570865"/>
              <a:gd name="GluePoint13Y" fmla="*/ 331330 h 331470"/>
              <a:gd name="GluePoint14X" fmla="*/ 395913 w 570865"/>
              <a:gd name="GluePoint14Y" fmla="*/ 329894 h 331470"/>
              <a:gd name="GluePoint15X" fmla="*/ 401940 w 570865"/>
              <a:gd name="GluePoint15Y" fmla="*/ 325980 h 331470"/>
              <a:gd name="GluePoint16X" fmla="*/ 406002 w 570865"/>
              <a:gd name="GluePoint16Y" fmla="*/ 320175 h 331470"/>
              <a:gd name="GluePoint17X" fmla="*/ 407492 w 570865"/>
              <a:gd name="GluePoint17Y" fmla="*/ 313067 h 331470"/>
              <a:gd name="GluePoint18X" fmla="*/ 407492 w 570865"/>
              <a:gd name="GluePoint18Y" fmla="*/ 174256 h 331470"/>
              <a:gd name="GluePoint19X" fmla="*/ 551535 w 570865"/>
              <a:gd name="GluePoint19Y" fmla="*/ 174256 h 331470"/>
              <a:gd name="GluePoint20X" fmla="*/ 558911 w 570865"/>
              <a:gd name="GluePoint20Y" fmla="*/ 172822 h 331470"/>
              <a:gd name="GluePoint21X" fmla="*/ 564934 w 570865"/>
              <a:gd name="GluePoint21Y" fmla="*/ 168911 h 331470"/>
              <a:gd name="GluePoint22X" fmla="*/ 568994 w 570865"/>
              <a:gd name="GluePoint22Y" fmla="*/ 163107 h 331470"/>
              <a:gd name="GluePoint23X" fmla="*/ 570484 w 570865"/>
              <a:gd name="GluePoint23Y" fmla="*/ 155994 h 331470"/>
              <a:gd name="GluePoint24X" fmla="*/ 570484 w 570865"/>
              <a:gd name="GluePoint24Y" fmla="*/ 22047 h 331470"/>
              <a:gd name="GluePoint25X" fmla="*/ 532553 w 570865"/>
              <a:gd name="GluePoint25Y" fmla="*/ 40630 h 331470"/>
              <a:gd name="GluePoint26X" fmla="*/ 491517 w 570865"/>
              <a:gd name="GluePoint26Y" fmla="*/ 56338 h 331470"/>
              <a:gd name="GluePoint27X" fmla="*/ 447714 w 570865"/>
              <a:gd name="GluePoint27Y" fmla="*/ 68946 h 331470"/>
              <a:gd name="GluePoint28X" fmla="*/ 401482 w 570865"/>
              <a:gd name="GluePoint28Y" fmla="*/ 78231 h 331470"/>
              <a:gd name="GluePoint29X" fmla="*/ 353160 w 570865"/>
              <a:gd name="GluePoint29Y" fmla="*/ 83966 h 331470"/>
              <a:gd name="GluePoint30X" fmla="*/ 303085 w 570865"/>
              <a:gd name="GluePoint30Y" fmla="*/ 85928 h 331470"/>
              <a:gd name="GluePoint31X" fmla="*/ 244532 w 570865"/>
              <a:gd name="GluePoint31Y" fmla="*/ 83239 h 331470"/>
              <a:gd name="GluePoint32X" fmla="*/ 188465 w 570865"/>
              <a:gd name="GluePoint32Y" fmla="*/ 75413 h 331470"/>
              <a:gd name="GluePoint33X" fmla="*/ 135431 w 570865"/>
              <a:gd name="GluePoint33Y" fmla="*/ 62814 h 331470"/>
              <a:gd name="GluePoint34X" fmla="*/ 85977 w 570865"/>
              <a:gd name="GluePoint34Y" fmla="*/ 45803 h 331470"/>
              <a:gd name="GluePoint35X" fmla="*/ 40651 w 570865"/>
              <a:gd name="GluePoint35Y" fmla="*/ 24744 h 331470"/>
              <a:gd name="GluePoint36X" fmla="*/ 0 w 570865"/>
              <a:gd name="GluePoint36Y" fmla="*/ 0 h 331470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  <a:cxn ang="0">
                <a:pos x="GluePoint26X" y="GluePoint26Y"/>
              </a:cxn>
              <a:cxn ang="0">
                <a:pos x="GluePoint27X" y="GluePoint27Y"/>
              </a:cxn>
              <a:cxn ang="0">
                <a:pos x="GluePoint28X" y="GluePoint28Y"/>
              </a:cxn>
              <a:cxn ang="0">
                <a:pos x="GluePoint29X" y="GluePoint29Y"/>
              </a:cxn>
              <a:cxn ang="0">
                <a:pos x="GluePoint30X" y="GluePoint30Y"/>
              </a:cxn>
              <a:cxn ang="0">
                <a:pos x="GluePoint31X" y="GluePoint31Y"/>
              </a:cxn>
              <a:cxn ang="0">
                <a:pos x="GluePoint32X" y="GluePoint32Y"/>
              </a:cxn>
              <a:cxn ang="0">
                <a:pos x="GluePoint33X" y="GluePoint33Y"/>
              </a:cxn>
              <a:cxn ang="0">
                <a:pos x="GluePoint34X" y="GluePoint34Y"/>
              </a:cxn>
              <a:cxn ang="0">
                <a:pos x="GluePoint35X" y="GluePoint35Y"/>
              </a:cxn>
              <a:cxn ang="0">
                <a:pos x="GluePoint36X" y="GluePoint36Y"/>
              </a:cxn>
            </a:cxnLst>
            <a:rect l="l" t="t" r="r" b="b"/>
            <a:pathLst>
              <a:path w="570865" h="331470">
                <a:moveTo>
                  <a:pt x="0" y="0"/>
                </a:moveTo>
                <a:lnTo>
                  <a:pt x="0" y="155994"/>
                </a:lnTo>
                <a:lnTo>
                  <a:pt x="1487" y="163107"/>
                </a:lnTo>
                <a:lnTo>
                  <a:pt x="5545" y="168911"/>
                </a:lnTo>
                <a:lnTo>
                  <a:pt x="11567" y="172822"/>
                </a:lnTo>
                <a:lnTo>
                  <a:pt x="18948" y="174256"/>
                </a:lnTo>
                <a:lnTo>
                  <a:pt x="162991" y="174256"/>
                </a:lnTo>
                <a:lnTo>
                  <a:pt x="162991" y="313067"/>
                </a:lnTo>
                <a:lnTo>
                  <a:pt x="164480" y="320175"/>
                </a:lnTo>
                <a:lnTo>
                  <a:pt x="168541" y="325980"/>
                </a:lnTo>
                <a:lnTo>
                  <a:pt x="174564" y="329894"/>
                </a:lnTo>
                <a:lnTo>
                  <a:pt x="181940" y="331330"/>
                </a:lnTo>
                <a:lnTo>
                  <a:pt x="388531" y="331330"/>
                </a:lnTo>
                <a:lnTo>
                  <a:pt x="395913" y="329894"/>
                </a:lnTo>
                <a:lnTo>
                  <a:pt x="401940" y="325980"/>
                </a:lnTo>
                <a:lnTo>
                  <a:pt x="406002" y="320175"/>
                </a:lnTo>
                <a:lnTo>
                  <a:pt x="407492" y="313067"/>
                </a:lnTo>
                <a:lnTo>
                  <a:pt x="407492" y="174256"/>
                </a:lnTo>
                <a:lnTo>
                  <a:pt x="551535" y="174256"/>
                </a:lnTo>
                <a:lnTo>
                  <a:pt x="558911" y="172822"/>
                </a:lnTo>
                <a:lnTo>
                  <a:pt x="564934" y="168911"/>
                </a:lnTo>
                <a:lnTo>
                  <a:pt x="568994" y="163107"/>
                </a:lnTo>
                <a:lnTo>
                  <a:pt x="570484" y="155994"/>
                </a:lnTo>
                <a:lnTo>
                  <a:pt x="570484" y="22047"/>
                </a:lnTo>
                <a:lnTo>
                  <a:pt x="532553" y="40630"/>
                </a:lnTo>
                <a:lnTo>
                  <a:pt x="491517" y="56338"/>
                </a:lnTo>
                <a:lnTo>
                  <a:pt x="447714" y="68946"/>
                </a:lnTo>
                <a:lnTo>
                  <a:pt x="401482" y="78231"/>
                </a:lnTo>
                <a:lnTo>
                  <a:pt x="353160" y="83966"/>
                </a:lnTo>
                <a:lnTo>
                  <a:pt x="303085" y="85928"/>
                </a:lnTo>
                <a:lnTo>
                  <a:pt x="244532" y="83239"/>
                </a:lnTo>
                <a:lnTo>
                  <a:pt x="188465" y="75413"/>
                </a:lnTo>
                <a:lnTo>
                  <a:pt x="135431" y="62814"/>
                </a:lnTo>
                <a:lnTo>
                  <a:pt x="85977" y="45803"/>
                </a:lnTo>
                <a:lnTo>
                  <a:pt x="40651" y="24744"/>
                </a:lnTo>
                <a:lnTo>
                  <a:pt x="0" y="0"/>
                </a:lnTo>
                <a:close/>
              </a:path>
            </a:pathLst>
          </a:custGeom>
          <a:solidFill>
            <a:srgbClr val="0c74bb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" name="Graphic 13"/>
          <xdr:cNvSpPr/>
        </xdr:nvSpPr>
        <xdr:spPr>
          <a:xfrm>
            <a:off x="776520" y="662760"/>
            <a:ext cx="579600" cy="136440"/>
          </a:xfrm>
          <a:custGeom>
            <a:avLst/>
            <a:gdLst>
              <a:gd name="GluePoint1X" fmla="*/ 388543 w 570865"/>
              <a:gd name="GluePoint1Y" fmla="*/ 0 h 304800"/>
              <a:gd name="GluePoint2X" fmla="*/ 181952 w 570865"/>
              <a:gd name="GluePoint2Y" fmla="*/ 0 h 304800"/>
              <a:gd name="GluePoint3X" fmla="*/ 174577 w 570865"/>
              <a:gd name="GluePoint3Y" fmla="*/ 1431 h 304800"/>
              <a:gd name="GluePoint4X" fmla="*/ 168554 w 570865"/>
              <a:gd name="GluePoint4Y" fmla="*/ 5338 h 304800"/>
              <a:gd name="GluePoint5X" fmla="*/ 164493 w 570865"/>
              <a:gd name="GluePoint5Y" fmla="*/ 11138 h 304800"/>
              <a:gd name="GluePoint6X" fmla="*/ 163004 w 570865"/>
              <a:gd name="GluePoint6Y" fmla="*/ 18249 h 304800"/>
              <a:gd name="GluePoint7X" fmla="*/ 163004 w 570865"/>
              <a:gd name="GluePoint7Y" fmla="*/ 157060 h 304800"/>
              <a:gd name="GluePoint8X" fmla="*/ 18948 w 570865"/>
              <a:gd name="GluePoint8Y" fmla="*/ 157060 h 304800"/>
              <a:gd name="GluePoint9X" fmla="*/ 11572 w 570865"/>
              <a:gd name="GluePoint9Y" fmla="*/ 158494 h 304800"/>
              <a:gd name="GluePoint10X" fmla="*/ 5549 w 570865"/>
              <a:gd name="GluePoint10Y" fmla="*/ 162404 h 304800"/>
              <a:gd name="GluePoint11X" fmla="*/ 1489 w 570865"/>
              <a:gd name="GluePoint11Y" fmla="*/ 168205 h 304800"/>
              <a:gd name="GluePoint12X" fmla="*/ 0 w 570865"/>
              <a:gd name="GluePoint12Y" fmla="*/ 175310 h 304800"/>
              <a:gd name="GluePoint13X" fmla="*/ 0 w 570865"/>
              <a:gd name="GluePoint13Y" fmla="*/ 218401 h 304800"/>
              <a:gd name="GluePoint14X" fmla="*/ 40651 w 570865"/>
              <a:gd name="GluePoint14Y" fmla="*/ 243145 h 304800"/>
              <a:gd name="GluePoint15X" fmla="*/ 85977 w 570865"/>
              <a:gd name="GluePoint15Y" fmla="*/ 264202 h 304800"/>
              <a:gd name="GluePoint16X" fmla="*/ 135431 w 570865"/>
              <a:gd name="GluePoint16Y" fmla="*/ 281209 h 304800"/>
              <a:gd name="GluePoint17X" fmla="*/ 188465 w 570865"/>
              <a:gd name="GluePoint17Y" fmla="*/ 293806 h 304800"/>
              <a:gd name="GluePoint18X" fmla="*/ 244532 w 570865"/>
              <a:gd name="GluePoint18Y" fmla="*/ 301629 h 304800"/>
              <a:gd name="GluePoint19X" fmla="*/ 303085 w 570865"/>
              <a:gd name="GluePoint19Y" fmla="*/ 304317 h 304800"/>
              <a:gd name="GluePoint20X" fmla="*/ 353160 w 570865"/>
              <a:gd name="GluePoint20Y" fmla="*/ 302355 h 304800"/>
              <a:gd name="GluePoint21X" fmla="*/ 401483 w 570865"/>
              <a:gd name="GluePoint21Y" fmla="*/ 296620 h 304800"/>
              <a:gd name="GluePoint22X" fmla="*/ 447716 w 570865"/>
              <a:gd name="GluePoint22Y" fmla="*/ 287335 h 304800"/>
              <a:gd name="GluePoint23X" fmla="*/ 491521 w 570865"/>
              <a:gd name="GluePoint23Y" fmla="*/ 274727 h 304800"/>
              <a:gd name="GluePoint24X" fmla="*/ 532560 w 570865"/>
              <a:gd name="GluePoint24Y" fmla="*/ 259019 h 304800"/>
              <a:gd name="GluePoint25X" fmla="*/ 570496 w 570865"/>
              <a:gd name="GluePoint25Y" fmla="*/ 240436 h 304800"/>
              <a:gd name="GluePoint26X" fmla="*/ 570496 w 570865"/>
              <a:gd name="GluePoint26Y" fmla="*/ 175310 h 304800"/>
              <a:gd name="GluePoint27X" fmla="*/ 569005 w 570865"/>
              <a:gd name="GluePoint27Y" fmla="*/ 168205 h 304800"/>
              <a:gd name="GluePoint28X" fmla="*/ 564940 w 570865"/>
              <a:gd name="GluePoint28Y" fmla="*/ 162404 h 304800"/>
              <a:gd name="GluePoint29X" fmla="*/ 558913 w 570865"/>
              <a:gd name="GluePoint29Y" fmla="*/ 158494 h 304800"/>
              <a:gd name="GluePoint30X" fmla="*/ 551535 w 570865"/>
              <a:gd name="GluePoint30Y" fmla="*/ 157060 h 304800"/>
              <a:gd name="GluePoint31X" fmla="*/ 407492 w 570865"/>
              <a:gd name="GluePoint31Y" fmla="*/ 157060 h 304800"/>
              <a:gd name="GluePoint32X" fmla="*/ 407492 w 570865"/>
              <a:gd name="GluePoint32Y" fmla="*/ 18249 h 304800"/>
              <a:gd name="GluePoint33X" fmla="*/ 406004 w 570865"/>
              <a:gd name="GluePoint33Y" fmla="*/ 11138 h 304800"/>
              <a:gd name="GluePoint34X" fmla="*/ 401947 w 570865"/>
              <a:gd name="GluePoint34Y" fmla="*/ 5338 h 304800"/>
              <a:gd name="GluePoint35X" fmla="*/ 395924 w 570865"/>
              <a:gd name="GluePoint35Y" fmla="*/ 1431 h 304800"/>
              <a:gd name="GluePoint36X" fmla="*/ 388543 w 570865"/>
              <a:gd name="GluePoint36Y" fmla="*/ 0 h 304800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  <a:cxn ang="0">
                <a:pos x="GluePoint26X" y="GluePoint26Y"/>
              </a:cxn>
              <a:cxn ang="0">
                <a:pos x="GluePoint27X" y="GluePoint27Y"/>
              </a:cxn>
              <a:cxn ang="0">
                <a:pos x="GluePoint28X" y="GluePoint28Y"/>
              </a:cxn>
              <a:cxn ang="0">
                <a:pos x="GluePoint29X" y="GluePoint29Y"/>
              </a:cxn>
              <a:cxn ang="0">
                <a:pos x="GluePoint30X" y="GluePoint30Y"/>
              </a:cxn>
              <a:cxn ang="0">
                <a:pos x="GluePoint31X" y="GluePoint31Y"/>
              </a:cxn>
              <a:cxn ang="0">
                <a:pos x="GluePoint32X" y="GluePoint32Y"/>
              </a:cxn>
              <a:cxn ang="0">
                <a:pos x="GluePoint33X" y="GluePoint33Y"/>
              </a:cxn>
              <a:cxn ang="0">
                <a:pos x="GluePoint34X" y="GluePoint34Y"/>
              </a:cxn>
              <a:cxn ang="0">
                <a:pos x="GluePoint35X" y="GluePoint35Y"/>
              </a:cxn>
              <a:cxn ang="0">
                <a:pos x="GluePoint36X" y="GluePoint36Y"/>
              </a:cxn>
            </a:cxnLst>
            <a:rect l="l" t="t" r="r" b="b"/>
            <a:pathLst>
              <a:path w="570865" h="304800">
                <a:moveTo>
                  <a:pt x="388543" y="0"/>
                </a:moveTo>
                <a:lnTo>
                  <a:pt x="181952" y="0"/>
                </a:lnTo>
                <a:lnTo>
                  <a:pt x="174577" y="1431"/>
                </a:lnTo>
                <a:lnTo>
                  <a:pt x="168554" y="5338"/>
                </a:lnTo>
                <a:lnTo>
                  <a:pt x="164493" y="11138"/>
                </a:lnTo>
                <a:lnTo>
                  <a:pt x="163004" y="18249"/>
                </a:lnTo>
                <a:lnTo>
                  <a:pt x="163004" y="157060"/>
                </a:lnTo>
                <a:lnTo>
                  <a:pt x="18948" y="157060"/>
                </a:lnTo>
                <a:lnTo>
                  <a:pt x="11572" y="158494"/>
                </a:lnTo>
                <a:lnTo>
                  <a:pt x="5549" y="162404"/>
                </a:lnTo>
                <a:lnTo>
                  <a:pt x="1489" y="168205"/>
                </a:lnTo>
                <a:lnTo>
                  <a:pt x="0" y="175310"/>
                </a:lnTo>
                <a:lnTo>
                  <a:pt x="0" y="218401"/>
                </a:lnTo>
                <a:lnTo>
                  <a:pt x="40651" y="243145"/>
                </a:lnTo>
                <a:lnTo>
                  <a:pt x="85977" y="264202"/>
                </a:lnTo>
                <a:lnTo>
                  <a:pt x="135431" y="281209"/>
                </a:lnTo>
                <a:lnTo>
                  <a:pt x="188465" y="293806"/>
                </a:lnTo>
                <a:lnTo>
                  <a:pt x="244532" y="301629"/>
                </a:lnTo>
                <a:lnTo>
                  <a:pt x="303085" y="304317"/>
                </a:lnTo>
                <a:lnTo>
                  <a:pt x="353160" y="302355"/>
                </a:lnTo>
                <a:lnTo>
                  <a:pt x="401483" y="296620"/>
                </a:lnTo>
                <a:lnTo>
                  <a:pt x="447716" y="287335"/>
                </a:lnTo>
                <a:lnTo>
                  <a:pt x="491521" y="274727"/>
                </a:lnTo>
                <a:lnTo>
                  <a:pt x="532560" y="259019"/>
                </a:lnTo>
                <a:lnTo>
                  <a:pt x="570496" y="240436"/>
                </a:lnTo>
                <a:lnTo>
                  <a:pt x="570496" y="175310"/>
                </a:lnTo>
                <a:lnTo>
                  <a:pt x="569005" y="168205"/>
                </a:lnTo>
                <a:lnTo>
                  <a:pt x="564940" y="162404"/>
                </a:lnTo>
                <a:lnTo>
                  <a:pt x="558913" y="158494"/>
                </a:lnTo>
                <a:lnTo>
                  <a:pt x="551535" y="157060"/>
                </a:lnTo>
                <a:lnTo>
                  <a:pt x="407492" y="157060"/>
                </a:lnTo>
                <a:lnTo>
                  <a:pt x="407492" y="18249"/>
                </a:lnTo>
                <a:lnTo>
                  <a:pt x="406004" y="11138"/>
                </a:lnTo>
                <a:lnTo>
                  <a:pt x="401947" y="5338"/>
                </a:lnTo>
                <a:lnTo>
                  <a:pt x="395924" y="1431"/>
                </a:lnTo>
                <a:lnTo>
                  <a:pt x="388543" y="0"/>
                </a:lnTo>
                <a:close/>
              </a:path>
            </a:pathLst>
          </a:custGeom>
          <a:solidFill>
            <a:srgbClr val="262962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" name="Graphic 14"/>
          <xdr:cNvSpPr/>
        </xdr:nvSpPr>
        <xdr:spPr>
          <a:xfrm>
            <a:off x="79920" y="592200"/>
            <a:ext cx="661680" cy="358920"/>
          </a:xfrm>
          <a:custGeom>
            <a:avLst/>
            <a:gdLst>
              <a:gd name="GluePoint1X" fmla="*/ 0 w 651510"/>
              <a:gd name="GluePoint1Y" fmla="*/ 0 h 801370"/>
              <a:gd name="GluePoint2X" fmla="*/ 70534 w 651510"/>
              <a:gd name="GluePoint2Y" fmla="*/ 26690 h 801370"/>
              <a:gd name="GluePoint3X" fmla="*/ 134650 w 651510"/>
              <a:gd name="GluePoint3Y" fmla="*/ 57219 h 801370"/>
              <a:gd name="GluePoint4X" fmla="*/ 192635 w 651510"/>
              <a:gd name="GluePoint4Y" fmla="*/ 91042 h 801370"/>
              <a:gd name="GluePoint5X" fmla="*/ 244774 w 651510"/>
              <a:gd name="GluePoint5Y" fmla="*/ 127617 h 801370"/>
              <a:gd name="GluePoint6X" fmla="*/ 291356 w 651510"/>
              <a:gd name="GluePoint6Y" fmla="*/ 166398 h 801370"/>
              <a:gd name="GluePoint7X" fmla="*/ 332668 w 651510"/>
              <a:gd name="GluePoint7Y" fmla="*/ 206844 h 801370"/>
              <a:gd name="GluePoint8X" fmla="*/ 368996 w 651510"/>
              <a:gd name="GluePoint8Y" fmla="*/ 248409 h 801370"/>
              <a:gd name="GluePoint9X" fmla="*/ 400628 w 651510"/>
              <a:gd name="GluePoint9Y" fmla="*/ 290552 h 801370"/>
              <a:gd name="GluePoint10X" fmla="*/ 427850 w 651510"/>
              <a:gd name="GluePoint10Y" fmla="*/ 332728 h 801370"/>
              <a:gd name="GluePoint11X" fmla="*/ 450950 w 651510"/>
              <a:gd name="GluePoint11Y" fmla="*/ 374393 h 801370"/>
              <a:gd name="GluePoint12X" fmla="*/ 470215 w 651510"/>
              <a:gd name="GluePoint12Y" fmla="*/ 415004 h 801370"/>
              <a:gd name="GluePoint13X" fmla="*/ 485932 w 651510"/>
              <a:gd name="GluePoint13Y" fmla="*/ 454018 h 801370"/>
              <a:gd name="GluePoint14X" fmla="*/ 498387 w 651510"/>
              <a:gd name="GluePoint14Y" fmla="*/ 490891 h 801370"/>
              <a:gd name="GluePoint15X" fmla="*/ 514663 w 651510"/>
              <a:gd name="GluePoint15Y" fmla="*/ 556039 h 801370"/>
              <a:gd name="GluePoint16X" fmla="*/ 521339 w 651510"/>
              <a:gd name="GluePoint16Y" fmla="*/ 606101 h 801370"/>
              <a:gd name="GluePoint17X" fmla="*/ 521795 w 651510"/>
              <a:gd name="GluePoint17Y" fmla="*/ 624115 h 801370"/>
              <a:gd name="GluePoint18X" fmla="*/ 520712 w 651510"/>
              <a:gd name="GluePoint18Y" fmla="*/ 636727 h 801370"/>
              <a:gd name="GluePoint19X" fmla="*/ 509558 w 651510"/>
              <a:gd name="GluePoint19Y" fmla="*/ 671890 h 801370"/>
              <a:gd name="GluePoint20X" fmla="*/ 494058 w 651510"/>
              <a:gd name="GluePoint20Y" fmla="*/ 685539 h 801370"/>
              <a:gd name="GluePoint21X" fmla="*/ 476124 w 651510"/>
              <a:gd name="GluePoint21Y" fmla="*/ 678586 h 801370"/>
              <a:gd name="GluePoint22X" fmla="*/ 457669 w 651510"/>
              <a:gd name="GluePoint22Y" fmla="*/ 651941 h 801370"/>
              <a:gd name="GluePoint23X" fmla="*/ 455192 w 651510"/>
              <a:gd name="GluePoint23Y" fmla="*/ 713852 h 801370"/>
              <a:gd name="GluePoint24X" fmla="*/ 467222 w 651510"/>
              <a:gd name="GluePoint24Y" fmla="*/ 758696 h 801370"/>
              <a:gd name="GluePoint25X" fmla="*/ 489576 w 651510"/>
              <a:gd name="GluePoint25Y" fmla="*/ 787415 h 801370"/>
              <a:gd name="GluePoint26X" fmla="*/ 518072 w 651510"/>
              <a:gd name="GluePoint26Y" fmla="*/ 800953 h 801370"/>
              <a:gd name="GluePoint27X" fmla="*/ 548525 w 651510"/>
              <a:gd name="GluePoint27Y" fmla="*/ 800252 h 801370"/>
              <a:gd name="GluePoint28X" fmla="*/ 590521 w 651510"/>
              <a:gd name="GluePoint28Y" fmla="*/ 776275 h 801370"/>
              <a:gd name="GluePoint29X" fmla="*/ 630327 w 651510"/>
              <a:gd name="GluePoint29Y" fmla="*/ 719740 h 801370"/>
              <a:gd name="GluePoint30X" fmla="*/ 644222 w 651510"/>
              <a:gd name="GluePoint30Y" fmla="*/ 677683 h 801370"/>
              <a:gd name="GluePoint31X" fmla="*/ 651343 w 651510"/>
              <a:gd name="GluePoint31Y" fmla="*/ 625591 h 801370"/>
              <a:gd name="GluePoint32X" fmla="*/ 649617 w 651510"/>
              <a:gd name="GluePoint32Y" fmla="*/ 562831 h 801370"/>
              <a:gd name="GluePoint33X" fmla="*/ 636968 w 651510"/>
              <a:gd name="GluePoint33Y" fmla="*/ 488772 h 801370"/>
              <a:gd name="GluePoint34X" fmla="*/ 565643 w 651510"/>
              <a:gd name="GluePoint34Y" fmla="*/ 249356 h 801370"/>
              <a:gd name="GluePoint35X" fmla="*/ 475518 w 651510"/>
              <a:gd name="GluePoint35Y" fmla="*/ 118637 h 801370"/>
              <a:gd name="GluePoint36X" fmla="*/ 306875 w 651510"/>
              <a:gd name="GluePoint36Y" fmla="*/ 50792 h 801370"/>
              <a:gd name="GluePoint37X" fmla="*/ 0 w 651510"/>
              <a:gd name="GluePoint37Y" fmla="*/ 0 h 801370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  <a:cxn ang="0">
                <a:pos x="GluePoint26X" y="GluePoint26Y"/>
              </a:cxn>
              <a:cxn ang="0">
                <a:pos x="GluePoint27X" y="GluePoint27Y"/>
              </a:cxn>
              <a:cxn ang="0">
                <a:pos x="GluePoint28X" y="GluePoint28Y"/>
              </a:cxn>
              <a:cxn ang="0">
                <a:pos x="GluePoint29X" y="GluePoint29Y"/>
              </a:cxn>
              <a:cxn ang="0">
                <a:pos x="GluePoint30X" y="GluePoint30Y"/>
              </a:cxn>
              <a:cxn ang="0">
                <a:pos x="GluePoint31X" y="GluePoint31Y"/>
              </a:cxn>
              <a:cxn ang="0">
                <a:pos x="GluePoint32X" y="GluePoint32Y"/>
              </a:cxn>
              <a:cxn ang="0">
                <a:pos x="GluePoint33X" y="GluePoint33Y"/>
              </a:cxn>
              <a:cxn ang="0">
                <a:pos x="GluePoint34X" y="GluePoint34Y"/>
              </a:cxn>
              <a:cxn ang="0">
                <a:pos x="GluePoint35X" y="GluePoint35Y"/>
              </a:cxn>
              <a:cxn ang="0">
                <a:pos x="GluePoint36X" y="GluePoint36Y"/>
              </a:cxn>
              <a:cxn ang="0">
                <a:pos x="GluePoint37X" y="GluePoint37Y"/>
              </a:cxn>
            </a:cxnLst>
            <a:rect l="l" t="t" r="r" b="b"/>
            <a:pathLst>
              <a:path w="651510" h="801370">
                <a:moveTo>
                  <a:pt x="0" y="0"/>
                </a:moveTo>
                <a:lnTo>
                  <a:pt x="70534" y="26690"/>
                </a:lnTo>
                <a:lnTo>
                  <a:pt x="134650" y="57219"/>
                </a:lnTo>
                <a:lnTo>
                  <a:pt x="192635" y="91042"/>
                </a:lnTo>
                <a:lnTo>
                  <a:pt x="244774" y="127617"/>
                </a:lnTo>
                <a:lnTo>
                  <a:pt x="291356" y="166398"/>
                </a:lnTo>
                <a:lnTo>
                  <a:pt x="332668" y="206844"/>
                </a:lnTo>
                <a:lnTo>
                  <a:pt x="368996" y="248409"/>
                </a:lnTo>
                <a:lnTo>
                  <a:pt x="400628" y="290552"/>
                </a:lnTo>
                <a:lnTo>
                  <a:pt x="427850" y="332728"/>
                </a:lnTo>
                <a:lnTo>
                  <a:pt x="450950" y="374393"/>
                </a:lnTo>
                <a:lnTo>
                  <a:pt x="470215" y="415004"/>
                </a:lnTo>
                <a:lnTo>
                  <a:pt x="485932" y="454018"/>
                </a:lnTo>
                <a:lnTo>
                  <a:pt x="498387" y="490891"/>
                </a:lnTo>
                <a:lnTo>
                  <a:pt x="514663" y="556039"/>
                </a:lnTo>
                <a:lnTo>
                  <a:pt x="521339" y="606101"/>
                </a:lnTo>
                <a:lnTo>
                  <a:pt x="521795" y="624115"/>
                </a:lnTo>
                <a:lnTo>
                  <a:pt x="520712" y="636727"/>
                </a:lnTo>
                <a:lnTo>
                  <a:pt x="509558" y="671890"/>
                </a:lnTo>
                <a:lnTo>
                  <a:pt x="494058" y="685539"/>
                </a:lnTo>
                <a:lnTo>
                  <a:pt x="476124" y="678586"/>
                </a:lnTo>
                <a:lnTo>
                  <a:pt x="457669" y="651941"/>
                </a:lnTo>
                <a:lnTo>
                  <a:pt x="455192" y="713852"/>
                </a:lnTo>
                <a:lnTo>
                  <a:pt x="467222" y="758696"/>
                </a:lnTo>
                <a:lnTo>
                  <a:pt x="489576" y="787415"/>
                </a:lnTo>
                <a:lnTo>
                  <a:pt x="518072" y="800953"/>
                </a:lnTo>
                <a:lnTo>
                  <a:pt x="548525" y="800252"/>
                </a:lnTo>
                <a:lnTo>
                  <a:pt x="590521" y="776275"/>
                </a:lnTo>
                <a:lnTo>
                  <a:pt x="630327" y="719740"/>
                </a:lnTo>
                <a:lnTo>
                  <a:pt x="644222" y="677683"/>
                </a:lnTo>
                <a:lnTo>
                  <a:pt x="651343" y="625591"/>
                </a:lnTo>
                <a:lnTo>
                  <a:pt x="649617" y="562831"/>
                </a:lnTo>
                <a:lnTo>
                  <a:pt x="636968" y="488772"/>
                </a:lnTo>
                <a:lnTo>
                  <a:pt x="565643" y="249356"/>
                </a:lnTo>
                <a:lnTo>
                  <a:pt x="475518" y="118637"/>
                </a:lnTo>
                <a:lnTo>
                  <a:pt x="306875" y="50792"/>
                </a:lnTo>
                <a:lnTo>
                  <a:pt x="0" y="0"/>
                </a:lnTo>
                <a:close/>
              </a:path>
            </a:pathLst>
          </a:custGeom>
          <a:solidFill>
            <a:srgbClr val="1374bb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" name="Graphic 15"/>
          <xdr:cNvSpPr/>
        </xdr:nvSpPr>
        <xdr:spPr>
          <a:xfrm>
            <a:off x="443520" y="523800"/>
            <a:ext cx="666000" cy="428040"/>
          </a:xfrm>
          <a:custGeom>
            <a:avLst/>
            <a:gdLst>
              <a:gd name="GluePoint1X" fmla="*/ 212699 w 655955"/>
              <a:gd name="GluePoint1Y" fmla="*/ 137591 h 955675"/>
              <a:gd name="GluePoint2X" fmla="*/ 205524 w 655955"/>
              <a:gd name="GluePoint2Y" fmla="*/ 84035 h 955675"/>
              <a:gd name="GluePoint3X" fmla="*/ 185966 w 655955"/>
              <a:gd name="GluePoint3Y" fmla="*/ 40309 h 955675"/>
              <a:gd name="GluePoint4X" fmla="*/ 156972 w 655955"/>
              <a:gd name="GluePoint4Y" fmla="*/ 10820 h 955675"/>
              <a:gd name="GluePoint5X" fmla="*/ 121450 w 655955"/>
              <a:gd name="GluePoint5Y" fmla="*/ 0 h 955675"/>
              <a:gd name="GluePoint6X" fmla="*/ 85928 w 655955"/>
              <a:gd name="GluePoint6Y" fmla="*/ 10820 h 955675"/>
              <a:gd name="GluePoint7X" fmla="*/ 56921 w 655955"/>
              <a:gd name="GluePoint7Y" fmla="*/ 40309 h 955675"/>
              <a:gd name="GluePoint8X" fmla="*/ 37376 w 655955"/>
              <a:gd name="GluePoint8Y" fmla="*/ 84035 h 955675"/>
              <a:gd name="GluePoint9X" fmla="*/ 30200 w 655955"/>
              <a:gd name="GluePoint9Y" fmla="*/ 137591 h 955675"/>
              <a:gd name="GluePoint10X" fmla="*/ 37376 w 655955"/>
              <a:gd name="GluePoint10Y" fmla="*/ 191147 h 955675"/>
              <a:gd name="GluePoint11X" fmla="*/ 56921 w 655955"/>
              <a:gd name="GluePoint11Y" fmla="*/ 234886 h 955675"/>
              <a:gd name="GluePoint12X" fmla="*/ 85928 w 655955"/>
              <a:gd name="GluePoint12Y" fmla="*/ 264375 h 955675"/>
              <a:gd name="GluePoint13X" fmla="*/ 121450 w 655955"/>
              <a:gd name="GluePoint13Y" fmla="*/ 275183 h 955675"/>
              <a:gd name="GluePoint14X" fmla="*/ 156972 w 655955"/>
              <a:gd name="GluePoint14Y" fmla="*/ 264375 h 955675"/>
              <a:gd name="GluePoint15X" fmla="*/ 185966 w 655955"/>
              <a:gd name="GluePoint15Y" fmla="*/ 234886 h 955675"/>
              <a:gd name="GluePoint16X" fmla="*/ 205524 w 655955"/>
              <a:gd name="GluePoint16Y" fmla="*/ 191147 h 955675"/>
              <a:gd name="GluePoint17X" fmla="*/ 212699 w 655955"/>
              <a:gd name="GluePoint17Y" fmla="*/ 137591 h 955675"/>
              <a:gd name="GluePoint18X" fmla="*/ 655891 w 655955"/>
              <a:gd name="GluePoint18Y" fmla="*/ 139369 h 955675"/>
              <a:gd name="GluePoint19X" fmla="*/ 617778 w 655955"/>
              <a:gd name="GluePoint19Y" fmla="*/ 137083 h 955675"/>
              <a:gd name="GluePoint20X" fmla="*/ 570204 w 655955"/>
              <a:gd name="GluePoint20Y" fmla="*/ 140042 h 955675"/>
              <a:gd name="GluePoint21X" fmla="*/ 515442 w 655955"/>
              <a:gd name="GluePoint21Y" fmla="*/ 148996 h 955675"/>
              <a:gd name="GluePoint22X" fmla="*/ 455777 w 655955"/>
              <a:gd name="GluePoint22Y" fmla="*/ 164668 h 955675"/>
              <a:gd name="GluePoint23X" fmla="*/ 393534 w 655955"/>
              <a:gd name="GluePoint23Y" fmla="*/ 187833 h 955675"/>
              <a:gd name="GluePoint24X" fmla="*/ 350723 w 655955"/>
              <a:gd name="GluePoint24Y" fmla="*/ 207708 h 955675"/>
              <a:gd name="GluePoint25X" fmla="*/ 308025 w 655955"/>
              <a:gd name="GluePoint25Y" fmla="*/ 230543 h 955675"/>
              <a:gd name="GluePoint26X" fmla="*/ 266014 w 655955"/>
              <a:gd name="GluePoint26Y" fmla="*/ 256476 h 955675"/>
              <a:gd name="GluePoint27X" fmla="*/ 225272 w 655955"/>
              <a:gd name="GluePoint27Y" fmla="*/ 285673 h 955675"/>
              <a:gd name="GluePoint28X" fmla="*/ 186397 w 655955"/>
              <a:gd name="GluePoint28Y" fmla="*/ 318287 h 955675"/>
              <a:gd name="GluePoint29X" fmla="*/ 149948 w 655955"/>
              <a:gd name="GluePoint29Y" fmla="*/ 354482 h 955675"/>
              <a:gd name="GluePoint30X" fmla="*/ 116535 w 655955"/>
              <a:gd name="GluePoint30Y" fmla="*/ 394411 h 955675"/>
              <a:gd name="GluePoint31X" fmla="*/ 86728 w 655955"/>
              <a:gd name="GluePoint31Y" fmla="*/ 438238 h 955675"/>
              <a:gd name="GluePoint32X" fmla="*/ 61099 w 655955"/>
              <a:gd name="GluePoint32Y" fmla="*/ 486105 h 955675"/>
              <a:gd name="GluePoint33X" fmla="*/ 40259 w 655955"/>
              <a:gd name="GluePoint33Y" fmla="*/ 538175 h 955675"/>
              <a:gd name="GluePoint34X" fmla="*/ 18427 w 655955"/>
              <a:gd name="GluePoint34Y" fmla="*/ 612190 h 955675"/>
              <a:gd name="GluePoint35X" fmla="*/ 5283 w 655955"/>
              <a:gd name="GluePoint35Y" fmla="*/ 677646 h 955675"/>
              <a:gd name="GluePoint36X" fmla="*/ 0 w 655955"/>
              <a:gd name="GluePoint36Y" fmla="*/ 734949 h 955675"/>
              <a:gd name="GluePoint37X" fmla="*/ 1778 w 655955"/>
              <a:gd name="GluePoint37Y" fmla="*/ 784567 h 955675"/>
              <a:gd name="GluePoint38X" fmla="*/ 9804 w 655955"/>
              <a:gd name="GluePoint38Y" fmla="*/ 826897 h 955675"/>
              <a:gd name="GluePoint39X" fmla="*/ 41440 w 655955"/>
              <a:gd name="GluePoint39Y" fmla="*/ 891451 h 955675"/>
              <a:gd name="GluePoint40X" fmla="*/ 88468 w 655955"/>
              <a:gd name="GluePoint40Y" fmla="*/ 932040 h 955675"/>
              <a:gd name="GluePoint41X" fmla="*/ 144449 w 655955"/>
              <a:gd name="GluePoint41Y" fmla="*/ 952119 h 955675"/>
              <a:gd name="GluePoint42X" fmla="*/ 173799 w 655955"/>
              <a:gd name="GluePoint42Y" fmla="*/ 955535 h 955675"/>
              <a:gd name="GluePoint43X" fmla="*/ 146596 w 655955"/>
              <a:gd name="GluePoint43Y" fmla="*/ 939914 h 955675"/>
              <a:gd name="GluePoint44X" fmla="*/ 126415 w 655955"/>
              <a:gd name="GluePoint44Y" fmla="*/ 917498 h 955675"/>
              <a:gd name="GluePoint45X" fmla="*/ 112928 w 655955"/>
              <a:gd name="GluePoint45Y" fmla="*/ 888733 h 955675"/>
              <a:gd name="GluePoint46X" fmla="*/ 105791 w 655955"/>
              <a:gd name="GluePoint46Y" fmla="*/ 854062 h 955675"/>
              <a:gd name="GluePoint47X" fmla="*/ 104648 w 655955"/>
              <a:gd name="GluePoint47Y" fmla="*/ 813879 h 955675"/>
              <a:gd name="GluePoint48X" fmla="*/ 109156 w 655955"/>
              <a:gd name="GluePoint48Y" fmla="*/ 768642 h 955675"/>
              <a:gd name="GluePoint49X" fmla="*/ 118973 w 655955"/>
              <a:gd name="GluePoint49Y" fmla="*/ 718769 h 955675"/>
              <a:gd name="GluePoint50X" fmla="*/ 133756 w 655955"/>
              <a:gd name="GluePoint50Y" fmla="*/ 664692 h 955675"/>
              <a:gd name="GluePoint51X" fmla="*/ 153162 w 655955"/>
              <a:gd name="GluePoint51Y" fmla="*/ 606831 h 955675"/>
              <a:gd name="GluePoint52X" fmla="*/ 176834 w 655955"/>
              <a:gd name="GluePoint52Y" fmla="*/ 545617 h 955675"/>
              <a:gd name="GluePoint53X" fmla="*/ 204431 w 655955"/>
              <a:gd name="GluePoint53Y" fmla="*/ 481482 h 955675"/>
              <a:gd name="GluePoint54X" fmla="*/ 272224 w 655955"/>
              <a:gd name="GluePoint54Y" fmla="*/ 341160 h 955675"/>
              <a:gd name="GluePoint55X" fmla="*/ 341845 w 655955"/>
              <a:gd name="GluePoint55Y" fmla="*/ 258749 h 955675"/>
              <a:gd name="GluePoint56X" fmla="*/ 455625 w 655955"/>
              <a:gd name="GluePoint56Y" fmla="*/ 202171 h 955675"/>
              <a:gd name="GluePoint57X" fmla="*/ 655891 w 655955"/>
              <a:gd name="GluePoint57Y" fmla="*/ 139369 h 95567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  <a:cxn ang="0">
                <a:pos x="GluePoint26X" y="GluePoint26Y"/>
              </a:cxn>
              <a:cxn ang="0">
                <a:pos x="GluePoint27X" y="GluePoint27Y"/>
              </a:cxn>
              <a:cxn ang="0">
                <a:pos x="GluePoint28X" y="GluePoint28Y"/>
              </a:cxn>
              <a:cxn ang="0">
                <a:pos x="GluePoint29X" y="GluePoint29Y"/>
              </a:cxn>
              <a:cxn ang="0">
                <a:pos x="GluePoint30X" y="GluePoint30Y"/>
              </a:cxn>
              <a:cxn ang="0">
                <a:pos x="GluePoint31X" y="GluePoint31Y"/>
              </a:cxn>
              <a:cxn ang="0">
                <a:pos x="GluePoint32X" y="GluePoint32Y"/>
              </a:cxn>
              <a:cxn ang="0">
                <a:pos x="GluePoint33X" y="GluePoint33Y"/>
              </a:cxn>
              <a:cxn ang="0">
                <a:pos x="GluePoint34X" y="GluePoint34Y"/>
              </a:cxn>
              <a:cxn ang="0">
                <a:pos x="GluePoint35X" y="GluePoint35Y"/>
              </a:cxn>
              <a:cxn ang="0">
                <a:pos x="GluePoint36X" y="GluePoint36Y"/>
              </a:cxn>
              <a:cxn ang="0">
                <a:pos x="GluePoint37X" y="GluePoint37Y"/>
              </a:cxn>
              <a:cxn ang="0">
                <a:pos x="GluePoint38X" y="GluePoint38Y"/>
              </a:cxn>
              <a:cxn ang="0">
                <a:pos x="GluePoint39X" y="GluePoint39Y"/>
              </a:cxn>
              <a:cxn ang="0">
                <a:pos x="GluePoint40X" y="GluePoint40Y"/>
              </a:cxn>
              <a:cxn ang="0">
                <a:pos x="GluePoint41X" y="GluePoint41Y"/>
              </a:cxn>
              <a:cxn ang="0">
                <a:pos x="GluePoint42X" y="GluePoint42Y"/>
              </a:cxn>
              <a:cxn ang="0">
                <a:pos x="GluePoint43X" y="GluePoint43Y"/>
              </a:cxn>
              <a:cxn ang="0">
                <a:pos x="GluePoint44X" y="GluePoint44Y"/>
              </a:cxn>
              <a:cxn ang="0">
                <a:pos x="GluePoint45X" y="GluePoint45Y"/>
              </a:cxn>
              <a:cxn ang="0">
                <a:pos x="GluePoint46X" y="GluePoint46Y"/>
              </a:cxn>
              <a:cxn ang="0">
                <a:pos x="GluePoint47X" y="GluePoint47Y"/>
              </a:cxn>
              <a:cxn ang="0">
                <a:pos x="GluePoint48X" y="GluePoint48Y"/>
              </a:cxn>
              <a:cxn ang="0">
                <a:pos x="GluePoint49X" y="GluePoint49Y"/>
              </a:cxn>
              <a:cxn ang="0">
                <a:pos x="GluePoint50X" y="GluePoint50Y"/>
              </a:cxn>
              <a:cxn ang="0">
                <a:pos x="GluePoint51X" y="GluePoint51Y"/>
              </a:cxn>
              <a:cxn ang="0">
                <a:pos x="GluePoint52X" y="GluePoint52Y"/>
              </a:cxn>
              <a:cxn ang="0">
                <a:pos x="GluePoint53X" y="GluePoint53Y"/>
              </a:cxn>
              <a:cxn ang="0">
                <a:pos x="GluePoint54X" y="GluePoint54Y"/>
              </a:cxn>
              <a:cxn ang="0">
                <a:pos x="GluePoint55X" y="GluePoint55Y"/>
              </a:cxn>
              <a:cxn ang="0">
                <a:pos x="GluePoint56X" y="GluePoint56Y"/>
              </a:cxn>
              <a:cxn ang="0">
                <a:pos x="GluePoint57X" y="GluePoint57Y"/>
              </a:cxn>
            </a:cxnLst>
            <a:rect l="l" t="t" r="r" b="b"/>
            <a:pathLst>
              <a:path w="655955" h="955675">
                <a:moveTo>
                  <a:pt x="212699" y="137591"/>
                </a:moveTo>
                <a:lnTo>
                  <a:pt x="205524" y="84035"/>
                </a:lnTo>
                <a:lnTo>
                  <a:pt x="185966" y="40309"/>
                </a:lnTo>
                <a:lnTo>
                  <a:pt x="156972" y="10820"/>
                </a:lnTo>
                <a:lnTo>
                  <a:pt x="121450" y="0"/>
                </a:lnTo>
                <a:lnTo>
                  <a:pt x="85928" y="10820"/>
                </a:lnTo>
                <a:lnTo>
                  <a:pt x="56921" y="40309"/>
                </a:lnTo>
                <a:lnTo>
                  <a:pt x="37376" y="84035"/>
                </a:lnTo>
                <a:lnTo>
                  <a:pt x="30200" y="137591"/>
                </a:lnTo>
                <a:lnTo>
                  <a:pt x="37376" y="191147"/>
                </a:lnTo>
                <a:lnTo>
                  <a:pt x="56921" y="234886"/>
                </a:lnTo>
                <a:lnTo>
                  <a:pt x="85928" y="264375"/>
                </a:lnTo>
                <a:lnTo>
                  <a:pt x="121450" y="275183"/>
                </a:lnTo>
                <a:lnTo>
                  <a:pt x="156972" y="264375"/>
                </a:lnTo>
                <a:lnTo>
                  <a:pt x="185966" y="234886"/>
                </a:lnTo>
                <a:lnTo>
                  <a:pt x="205524" y="191147"/>
                </a:lnTo>
                <a:lnTo>
                  <a:pt x="212699" y="137591"/>
                </a:lnTo>
                <a:close/>
              </a:path>
              <a:path w="655955" h="955675">
                <a:moveTo>
                  <a:pt x="655891" y="139369"/>
                </a:moveTo>
                <a:lnTo>
                  <a:pt x="617778" y="137083"/>
                </a:lnTo>
                <a:lnTo>
                  <a:pt x="570204" y="140042"/>
                </a:lnTo>
                <a:lnTo>
                  <a:pt x="515442" y="148996"/>
                </a:lnTo>
                <a:lnTo>
                  <a:pt x="455777" y="164668"/>
                </a:lnTo>
                <a:lnTo>
                  <a:pt x="393534" y="187833"/>
                </a:lnTo>
                <a:lnTo>
                  <a:pt x="350723" y="207708"/>
                </a:lnTo>
                <a:lnTo>
                  <a:pt x="308025" y="230543"/>
                </a:lnTo>
                <a:lnTo>
                  <a:pt x="266014" y="256476"/>
                </a:lnTo>
                <a:lnTo>
                  <a:pt x="225272" y="285673"/>
                </a:lnTo>
                <a:lnTo>
                  <a:pt x="186397" y="318287"/>
                </a:lnTo>
                <a:lnTo>
                  <a:pt x="149948" y="354482"/>
                </a:lnTo>
                <a:lnTo>
                  <a:pt x="116535" y="394411"/>
                </a:lnTo>
                <a:lnTo>
                  <a:pt x="86728" y="438238"/>
                </a:lnTo>
                <a:lnTo>
                  <a:pt x="61099" y="486105"/>
                </a:lnTo>
                <a:lnTo>
                  <a:pt x="40259" y="538175"/>
                </a:lnTo>
                <a:lnTo>
                  <a:pt x="18427" y="612190"/>
                </a:lnTo>
                <a:lnTo>
                  <a:pt x="5283" y="677646"/>
                </a:lnTo>
                <a:lnTo>
                  <a:pt x="0" y="734949"/>
                </a:lnTo>
                <a:lnTo>
                  <a:pt x="1778" y="784567"/>
                </a:lnTo>
                <a:lnTo>
                  <a:pt x="9804" y="826897"/>
                </a:lnTo>
                <a:lnTo>
                  <a:pt x="41440" y="891451"/>
                </a:lnTo>
                <a:lnTo>
                  <a:pt x="88468" y="932040"/>
                </a:lnTo>
                <a:lnTo>
                  <a:pt x="144449" y="952119"/>
                </a:lnTo>
                <a:lnTo>
                  <a:pt x="173799" y="955535"/>
                </a:lnTo>
                <a:lnTo>
                  <a:pt x="146596" y="939914"/>
                </a:lnTo>
                <a:lnTo>
                  <a:pt x="126415" y="917498"/>
                </a:lnTo>
                <a:lnTo>
                  <a:pt x="112928" y="888733"/>
                </a:lnTo>
                <a:lnTo>
                  <a:pt x="105791" y="854062"/>
                </a:lnTo>
                <a:lnTo>
                  <a:pt x="104648" y="813879"/>
                </a:lnTo>
                <a:lnTo>
                  <a:pt x="109156" y="768642"/>
                </a:lnTo>
                <a:lnTo>
                  <a:pt x="118973" y="718769"/>
                </a:lnTo>
                <a:lnTo>
                  <a:pt x="133756" y="664692"/>
                </a:lnTo>
                <a:lnTo>
                  <a:pt x="153162" y="606831"/>
                </a:lnTo>
                <a:lnTo>
                  <a:pt x="176834" y="545617"/>
                </a:lnTo>
                <a:lnTo>
                  <a:pt x="204431" y="481482"/>
                </a:lnTo>
                <a:lnTo>
                  <a:pt x="272224" y="341160"/>
                </a:lnTo>
                <a:lnTo>
                  <a:pt x="341845" y="258749"/>
                </a:lnTo>
                <a:lnTo>
                  <a:pt x="455625" y="202171"/>
                </a:lnTo>
                <a:lnTo>
                  <a:pt x="655891" y="139369"/>
                </a:lnTo>
                <a:close/>
              </a:path>
            </a:pathLst>
          </a:custGeom>
          <a:solidFill>
            <a:srgbClr val="1385a7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pic>
        <xdr:nvPicPr>
          <xdr:cNvPr id="6" name="Image 16" descr=""/>
          <xdr:cNvPicPr/>
        </xdr:nvPicPr>
        <xdr:blipFill>
          <a:blip r:embed="rId1"/>
          <a:stretch/>
        </xdr:blipFill>
        <xdr:spPr>
          <a:xfrm>
            <a:off x="586080" y="739440"/>
            <a:ext cx="81000" cy="9252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7" name="Image 17" descr=""/>
          <xdr:cNvPicPr/>
        </xdr:nvPicPr>
        <xdr:blipFill>
          <a:blip r:embed="rId2"/>
          <a:stretch/>
        </xdr:blipFill>
        <xdr:spPr>
          <a:xfrm>
            <a:off x="928080" y="586080"/>
            <a:ext cx="209520" cy="3456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Users/HP/Desktop/HISTORIA%20CLINICA/FORMULARIOS/MSPhcu_4sep06/SOAP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"/>
      <sheetName val="SOAP"/>
      <sheetName val="CEE"/>
      <sheetName val="BD1"/>
      <sheetName val="BD 2"/>
      <sheetName val="BD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customHeight="true" zeroHeight="false" outlineLevelRow="0" outlineLevelCol="0"/>
  <cols>
    <col collapsed="false" customWidth="true" hidden="false" outlineLevel="0" max="1" min="1" style="1" width="1.85"/>
    <col collapsed="false" customWidth="false" hidden="false" outlineLevel="0" max="4" min="2" style="1" width="1.7"/>
    <col collapsed="false" customWidth="true" hidden="false" outlineLevel="0" max="5" min="5" style="1" width="2.42"/>
    <col collapsed="false" customWidth="false" hidden="false" outlineLevel="0" max="7" min="6" style="1" width="1.7"/>
    <col collapsed="false" customWidth="true" hidden="false" outlineLevel="0" max="8" min="8" style="1" width="2.56"/>
    <col collapsed="false" customWidth="false" hidden="true" outlineLevel="0" max="10" min="9" style="1" width="1.7"/>
    <col collapsed="false" customWidth="true" hidden="false" outlineLevel="0" max="11" min="11" style="1" width="1.13"/>
    <col collapsed="false" customWidth="true" hidden="false" outlineLevel="0" max="12" min="12" style="1" width="1.99"/>
    <col collapsed="false" customWidth="true" hidden="false" outlineLevel="0" max="13" min="13" style="1" width="2.42"/>
    <col collapsed="false" customWidth="true" hidden="false" outlineLevel="0" max="14" min="14" style="1" width="1.28"/>
    <col collapsed="false" customWidth="false" hidden="false" outlineLevel="0" max="18" min="15" style="1" width="1.7"/>
    <col collapsed="false" customWidth="true" hidden="false" outlineLevel="0" max="19" min="19" style="1" width="1.85"/>
    <col collapsed="false" customWidth="false" hidden="false" outlineLevel="0" max="25" min="20" style="1" width="1.7"/>
    <col collapsed="false" customWidth="true" hidden="false" outlineLevel="0" max="26" min="26" style="1" width="1.99"/>
    <col collapsed="false" customWidth="false" hidden="false" outlineLevel="0" max="37" min="27" style="1" width="1.7"/>
    <col collapsed="false" customWidth="true" hidden="false" outlineLevel="0" max="38" min="38" style="1" width="1.99"/>
    <col collapsed="false" customWidth="false" hidden="false" outlineLevel="0" max="51" min="39" style="1" width="1.7"/>
    <col collapsed="false" customWidth="true" hidden="false" outlineLevel="0" max="52" min="52" style="1" width="3.42"/>
    <col collapsed="false" customWidth="false" hidden="false" outlineLevel="0" max="63" min="53" style="1" width="1.7"/>
    <col collapsed="false" customWidth="true" hidden="false" outlineLevel="0" max="64" min="64" style="1" width="4.85"/>
    <col collapsed="false" customWidth="false" hidden="false" outlineLevel="0" max="97" min="65" style="1" width="1.7"/>
    <col collapsed="false" customWidth="true" hidden="false" outlineLevel="0" max="98" min="98" style="1" width="2.13"/>
    <col collapsed="false" customWidth="false" hidden="false" outlineLevel="0" max="257" min="99" style="1" width="1.7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customFormat="false" ht="23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2</v>
      </c>
      <c r="O2" s="4"/>
      <c r="P2" s="4"/>
      <c r="Q2" s="4"/>
      <c r="R2" s="4"/>
      <c r="S2" s="4"/>
      <c r="T2" s="5" t="s">
        <v>3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 t="s">
        <v>4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 t="s">
        <v>5</v>
      </c>
      <c r="BA2" s="7"/>
      <c r="BB2" s="7"/>
      <c r="BC2" s="7"/>
      <c r="BD2" s="7"/>
      <c r="BE2" s="7"/>
      <c r="BF2" s="7"/>
      <c r="BG2" s="7"/>
      <c r="BH2" s="7"/>
      <c r="BI2" s="7"/>
      <c r="BJ2" s="8" t="s">
        <v>6</v>
      </c>
      <c r="BK2" s="8"/>
      <c r="BL2" s="8"/>
    </row>
    <row r="3" customFormat="false" ht="15" hidden="false" customHeight="true" outlineLevel="0" collapsed="false">
      <c r="A3" s="9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 t="n">
        <v>56398</v>
      </c>
      <c r="O3" s="10"/>
      <c r="P3" s="10"/>
      <c r="Q3" s="10"/>
      <c r="R3" s="10"/>
      <c r="S3" s="10"/>
      <c r="T3" s="11" t="s">
        <v>8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2" t="s">
        <v>9</v>
      </c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3" t="n">
        <v>20346</v>
      </c>
      <c r="BA3" s="13"/>
      <c r="BB3" s="13"/>
      <c r="BC3" s="13"/>
      <c r="BD3" s="13"/>
      <c r="BE3" s="13"/>
      <c r="BF3" s="13"/>
      <c r="BG3" s="13"/>
      <c r="BH3" s="13"/>
      <c r="BI3" s="13"/>
      <c r="BJ3" s="14" t="n">
        <v>1</v>
      </c>
      <c r="BK3" s="14"/>
      <c r="BL3" s="14"/>
    </row>
    <row r="4" customFormat="false" ht="19.5" hidden="false" customHeight="true" outlineLevel="0" collapsed="false">
      <c r="A4" s="15" t="s">
        <v>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 t="s">
        <v>11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 t="s">
        <v>12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 t="s">
        <v>13</v>
      </c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 t="s">
        <v>14</v>
      </c>
      <c r="BF4" s="17"/>
      <c r="BG4" s="17"/>
      <c r="BH4" s="17"/>
      <c r="BI4" s="18" t="s">
        <v>15</v>
      </c>
      <c r="BJ4" s="18"/>
      <c r="BK4" s="18"/>
      <c r="BL4" s="18"/>
    </row>
    <row r="5" customFormat="false" ht="23.25" hidden="false" customHeight="true" outlineLevel="0" collapsed="false">
      <c r="A5" s="19" t="s">
        <v>16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 t="s">
        <v>17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 t="s">
        <v>18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 t="s">
        <v>19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 t="s">
        <v>20</v>
      </c>
      <c r="BF5" s="20"/>
      <c r="BG5" s="20"/>
      <c r="BH5" s="20"/>
      <c r="BI5" s="21" t="n">
        <f aca="true">DATEDIF(AZ3,TODAY(),"Y")</f>
        <v>71</v>
      </c>
      <c r="BJ5" s="21"/>
      <c r="BK5" s="21"/>
      <c r="BL5" s="21"/>
    </row>
    <row r="6" customFormat="false" ht="10.5" hidden="false" customHeight="true" outlineLevel="0" collapsed="false">
      <c r="A6" s="22" t="s">
        <v>21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3"/>
    </row>
    <row r="7" customFormat="false" ht="12.75" hidden="false" customHeight="true" outlineLevel="0" collapsed="false">
      <c r="A7" s="24" t="s">
        <v>22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5" t="s">
        <v>23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 t="s">
        <v>24</v>
      </c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6" t="s">
        <v>25</v>
      </c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</row>
    <row r="8" customFormat="false" ht="19.5" hidden="false" customHeight="true" outlineLevel="0" collapsed="false">
      <c r="A8" s="27" t="s">
        <v>26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 t="s">
        <v>27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 t="s">
        <v>28</v>
      </c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</row>
    <row r="9" customFormat="false" ht="5.45" hidden="false" customHeight="true" outlineLevel="0" collapsed="false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</row>
    <row r="10" customFormat="false" ht="16.5" hidden="false" customHeight="true" outlineLevel="0" collapsed="false">
      <c r="A10" s="31" t="s">
        <v>29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2" t="s">
        <v>30</v>
      </c>
      <c r="AL10" s="32"/>
      <c r="AM10" s="32"/>
      <c r="AN10" s="32"/>
      <c r="AO10" s="32"/>
      <c r="AP10" s="32"/>
      <c r="AQ10" s="32"/>
      <c r="AR10" s="32"/>
      <c r="AS10" s="33"/>
      <c r="AT10" s="33"/>
      <c r="AU10" s="33"/>
      <c r="AV10" s="33"/>
      <c r="AW10" s="32" t="s">
        <v>31</v>
      </c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4"/>
      <c r="BJ10" s="34"/>
      <c r="BK10" s="34"/>
      <c r="BL10" s="34"/>
    </row>
    <row r="11" customFormat="false" ht="24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customFormat="false" ht="5.45" hidden="false" customHeight="true" outlineLevel="0" collapsed="false"/>
    <row r="13" customFormat="false" ht="16.5" hidden="false" customHeight="true" outlineLevel="0" collapsed="false">
      <c r="A13" s="36" t="s">
        <v>32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7" t="s">
        <v>33</v>
      </c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</row>
    <row r="14" customFormat="false" ht="15" hidden="false" customHeight="true" outlineLevel="0" collapsed="false">
      <c r="A14" s="38" t="s">
        <v>34</v>
      </c>
      <c r="B14" s="38"/>
      <c r="C14" s="38"/>
      <c r="D14" s="38"/>
      <c r="E14" s="38"/>
      <c r="F14" s="39"/>
      <c r="G14" s="39"/>
      <c r="H14" s="40" t="s">
        <v>35</v>
      </c>
      <c r="I14" s="40"/>
      <c r="J14" s="40"/>
      <c r="K14" s="40"/>
      <c r="L14" s="40"/>
      <c r="M14" s="39"/>
      <c r="N14" s="39"/>
      <c r="O14" s="40" t="s">
        <v>36</v>
      </c>
      <c r="P14" s="40"/>
      <c r="Q14" s="40"/>
      <c r="R14" s="40"/>
      <c r="S14" s="39"/>
      <c r="T14" s="39"/>
      <c r="U14" s="40" t="s">
        <v>37</v>
      </c>
      <c r="V14" s="40"/>
      <c r="W14" s="40"/>
      <c r="X14" s="40"/>
      <c r="Y14" s="40"/>
      <c r="Z14" s="39"/>
      <c r="AA14" s="39"/>
      <c r="AB14" s="40" t="s">
        <v>38</v>
      </c>
      <c r="AC14" s="40"/>
      <c r="AD14" s="40"/>
      <c r="AE14" s="40"/>
      <c r="AF14" s="39"/>
      <c r="AG14" s="39"/>
      <c r="AH14" s="41" t="s">
        <v>39</v>
      </c>
      <c r="AI14" s="41"/>
      <c r="AJ14" s="41"/>
      <c r="AK14" s="41"/>
      <c r="AL14" s="41"/>
      <c r="AM14" s="41"/>
      <c r="AN14" s="39"/>
      <c r="AO14" s="39"/>
      <c r="AP14" s="40" t="s">
        <v>40</v>
      </c>
      <c r="AQ14" s="40"/>
      <c r="AR14" s="40"/>
      <c r="AS14" s="39"/>
      <c r="AT14" s="39"/>
      <c r="AU14" s="40" t="s">
        <v>41</v>
      </c>
      <c r="AV14" s="40"/>
      <c r="AW14" s="40"/>
      <c r="AX14" s="40"/>
      <c r="AY14" s="39"/>
      <c r="AZ14" s="39"/>
      <c r="BA14" s="40" t="s">
        <v>42</v>
      </c>
      <c r="BB14" s="40"/>
      <c r="BC14" s="40"/>
      <c r="BD14" s="40"/>
      <c r="BE14" s="39"/>
      <c r="BF14" s="39"/>
      <c r="BG14" s="40" t="s">
        <v>43</v>
      </c>
      <c r="BH14" s="40"/>
      <c r="BI14" s="40"/>
      <c r="BJ14" s="40"/>
      <c r="BK14" s="42" t="s">
        <v>44</v>
      </c>
      <c r="BL14" s="42"/>
    </row>
    <row r="15" customFormat="false" ht="72" hidden="false" customHeight="true" outlineLevel="0" collapsed="false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</row>
    <row r="16" customFormat="false" ht="6" hidden="false" customHeight="true" outlineLevel="0" collapsed="false">
      <c r="A16" s="1" t="s">
        <v>45</v>
      </c>
    </row>
    <row r="17" customFormat="false" ht="16.5" hidden="false" customHeight="true" outlineLevel="0" collapsed="false">
      <c r="A17" s="2" t="s">
        <v>46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customFormat="false" ht="23.45" hidden="false" customHeight="true" outlineLevel="0" collapsed="false">
      <c r="A18" s="38" t="s">
        <v>34</v>
      </c>
      <c r="B18" s="38"/>
      <c r="C18" s="38"/>
      <c r="D18" s="38"/>
      <c r="E18" s="38"/>
      <c r="F18" s="39"/>
      <c r="G18" s="39"/>
      <c r="H18" s="40" t="s">
        <v>35</v>
      </c>
      <c r="I18" s="40"/>
      <c r="J18" s="40"/>
      <c r="K18" s="40"/>
      <c r="L18" s="40"/>
      <c r="M18" s="39"/>
      <c r="N18" s="39"/>
      <c r="O18" s="40" t="s">
        <v>36</v>
      </c>
      <c r="P18" s="40"/>
      <c r="Q18" s="40"/>
      <c r="R18" s="40"/>
      <c r="S18" s="39"/>
      <c r="T18" s="39"/>
      <c r="U18" s="40" t="s">
        <v>37</v>
      </c>
      <c r="V18" s="40"/>
      <c r="W18" s="40"/>
      <c r="X18" s="40"/>
      <c r="Y18" s="40"/>
      <c r="Z18" s="39"/>
      <c r="AA18" s="39"/>
      <c r="AB18" s="40" t="s">
        <v>38</v>
      </c>
      <c r="AC18" s="40"/>
      <c r="AD18" s="40"/>
      <c r="AE18" s="40"/>
      <c r="AF18" s="39"/>
      <c r="AG18" s="39"/>
      <c r="AH18" s="40" t="s">
        <v>47</v>
      </c>
      <c r="AI18" s="40"/>
      <c r="AJ18" s="40"/>
      <c r="AK18" s="40"/>
      <c r="AL18" s="40"/>
      <c r="AM18" s="40"/>
      <c r="AN18" s="39"/>
      <c r="AO18" s="39"/>
      <c r="AP18" s="40" t="s">
        <v>40</v>
      </c>
      <c r="AQ18" s="40"/>
      <c r="AR18" s="40"/>
      <c r="AS18" s="39"/>
      <c r="AT18" s="39"/>
      <c r="AU18" s="40" t="s">
        <v>41</v>
      </c>
      <c r="AV18" s="40"/>
      <c r="AW18" s="40"/>
      <c r="AX18" s="40"/>
      <c r="AY18" s="39"/>
      <c r="AZ18" s="39"/>
      <c r="BA18" s="40" t="s">
        <v>42</v>
      </c>
      <c r="BB18" s="40"/>
      <c r="BC18" s="40"/>
      <c r="BD18" s="40"/>
      <c r="BE18" s="39"/>
      <c r="BF18" s="39"/>
      <c r="BG18" s="40" t="s">
        <v>43</v>
      </c>
      <c r="BH18" s="40"/>
      <c r="BI18" s="40"/>
      <c r="BJ18" s="40"/>
      <c r="BK18" s="42"/>
      <c r="BL18" s="42"/>
    </row>
    <row r="19" customFormat="false" ht="19.7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</row>
    <row r="20" customFormat="false" ht="19.7" hidden="false" customHeight="true" outlineLevel="0" collapsed="false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</row>
    <row r="21" customFormat="false" ht="19.7" hidden="false" customHeight="true" outlineLevel="0" collapsed="false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</row>
    <row r="22" customFormat="false" ht="5.45" hidden="false" customHeight="true" outlineLevel="0" collapsed="false"/>
    <row r="23" customFormat="false" ht="16.5" hidden="false" customHeight="true" outlineLevel="0" collapsed="false">
      <c r="A23" s="31" t="s">
        <v>48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46" t="s">
        <v>49</v>
      </c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</row>
    <row r="24" customFormat="false" ht="65.25" hidden="false" customHeight="true" outlineLevel="0" collapsed="false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</row>
    <row r="25" customFormat="false" ht="16.5" hidden="false" customHeight="true" outlineLevel="0" collapsed="false">
      <c r="A25" s="2" t="s">
        <v>50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customFormat="false" ht="60" hidden="false" customHeight="true" outlineLevel="0" collapsed="false">
      <c r="A26" s="48" t="s">
        <v>51</v>
      </c>
      <c r="B26" s="48"/>
      <c r="C26" s="48"/>
      <c r="D26" s="48"/>
      <c r="E26" s="48"/>
      <c r="F26" s="7" t="s">
        <v>52</v>
      </c>
      <c r="G26" s="7"/>
      <c r="H26" s="7"/>
      <c r="I26" s="7"/>
      <c r="J26" s="7"/>
      <c r="K26" s="49" t="s">
        <v>53</v>
      </c>
      <c r="L26" s="49"/>
      <c r="M26" s="49"/>
      <c r="N26" s="49"/>
      <c r="O26" s="49" t="s">
        <v>54</v>
      </c>
      <c r="P26" s="49"/>
      <c r="Q26" s="49"/>
      <c r="R26" s="49"/>
      <c r="S26" s="49"/>
      <c r="T26" s="49" t="s">
        <v>55</v>
      </c>
      <c r="U26" s="49"/>
      <c r="V26" s="49"/>
      <c r="W26" s="49"/>
      <c r="X26" s="49"/>
      <c r="Y26" s="49" t="s">
        <v>56</v>
      </c>
      <c r="Z26" s="49"/>
      <c r="AA26" s="49"/>
      <c r="AB26" s="49"/>
      <c r="AC26" s="49"/>
      <c r="AD26" s="49" t="s">
        <v>57</v>
      </c>
      <c r="AE26" s="49"/>
      <c r="AF26" s="49"/>
      <c r="AG26" s="49"/>
      <c r="AH26" s="49"/>
      <c r="AI26" s="49" t="s">
        <v>58</v>
      </c>
      <c r="AJ26" s="49"/>
      <c r="AK26" s="49"/>
      <c r="AL26" s="49"/>
      <c r="AM26" s="49"/>
      <c r="AN26" s="49" t="s">
        <v>59</v>
      </c>
      <c r="AO26" s="49"/>
      <c r="AP26" s="49"/>
      <c r="AQ26" s="49"/>
      <c r="AR26" s="49"/>
      <c r="AS26" s="49" t="s">
        <v>60</v>
      </c>
      <c r="AT26" s="49"/>
      <c r="AU26" s="49"/>
      <c r="AV26" s="49"/>
      <c r="AW26" s="49"/>
      <c r="AX26" s="49" t="s">
        <v>61</v>
      </c>
      <c r="AY26" s="49"/>
      <c r="AZ26" s="49"/>
      <c r="BA26" s="49"/>
      <c r="BB26" s="49"/>
      <c r="BC26" s="49" t="s">
        <v>62</v>
      </c>
      <c r="BD26" s="49"/>
      <c r="BE26" s="49"/>
      <c r="BF26" s="49"/>
      <c r="BG26" s="49"/>
      <c r="BH26" s="50" t="s">
        <v>63</v>
      </c>
      <c r="BI26" s="50"/>
      <c r="BJ26" s="50"/>
      <c r="BK26" s="50"/>
      <c r="BL26" s="50"/>
    </row>
    <row r="27" customFormat="false" ht="19.7" hidden="false" customHeight="true" outlineLevel="0" collapsed="false">
      <c r="A27" s="51" t="n">
        <f aca="true">TODAY()</f>
        <v>46297</v>
      </c>
      <c r="B27" s="51"/>
      <c r="C27" s="51"/>
      <c r="D27" s="51"/>
      <c r="E27" s="51"/>
      <c r="F27" s="52" t="n">
        <f aca="true">NOW()</f>
        <v>46297.8549936271</v>
      </c>
      <c r="G27" s="52"/>
      <c r="H27" s="52"/>
      <c r="I27" s="52"/>
      <c r="J27" s="52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4"/>
      <c r="BI27" s="54"/>
      <c r="BJ27" s="54"/>
      <c r="BK27" s="54"/>
      <c r="BL27" s="54"/>
    </row>
    <row r="28" customFormat="false" ht="19.7" hidden="false" customHeight="true" outlineLevel="0" collapsed="false">
      <c r="A28" s="55"/>
      <c r="B28" s="55"/>
      <c r="C28" s="55"/>
      <c r="D28" s="55"/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7"/>
      <c r="BI28" s="57"/>
      <c r="BJ28" s="57"/>
      <c r="BK28" s="57"/>
      <c r="BL28" s="57"/>
    </row>
    <row r="29" customFormat="false" ht="9.95" hidden="false" customHeight="true" outlineLevel="0" collapsed="false"/>
    <row r="30" customFormat="false" ht="16.5" hidden="false" customHeight="true" outlineLevel="0" collapsed="false">
      <c r="A30" s="36" t="s">
        <v>64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58" t="s">
        <v>65</v>
      </c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</row>
    <row r="31" customFormat="false" ht="14.1" hidden="false" customHeight="true" outlineLevel="0" collapsed="false">
      <c r="A31" s="59" t="n">
        <v>1</v>
      </c>
      <c r="B31" s="60" t="s">
        <v>66</v>
      </c>
      <c r="C31" s="60"/>
      <c r="D31" s="60"/>
      <c r="E31" s="60"/>
      <c r="F31" s="60"/>
      <c r="G31" s="60"/>
      <c r="H31" s="60"/>
      <c r="I31" s="60"/>
      <c r="J31" s="60"/>
      <c r="K31" s="61"/>
      <c r="L31" s="61"/>
      <c r="M31" s="62" t="n">
        <v>3</v>
      </c>
      <c r="N31" s="60" t="s">
        <v>67</v>
      </c>
      <c r="O31" s="60"/>
      <c r="P31" s="60"/>
      <c r="Q31" s="60"/>
      <c r="R31" s="60"/>
      <c r="S31" s="60"/>
      <c r="T31" s="60"/>
      <c r="U31" s="60"/>
      <c r="V31" s="60"/>
      <c r="W31" s="60"/>
      <c r="X31" s="61"/>
      <c r="Y31" s="61"/>
      <c r="Z31" s="62" t="n">
        <v>5</v>
      </c>
      <c r="AA31" s="60" t="s">
        <v>68</v>
      </c>
      <c r="AB31" s="60"/>
      <c r="AC31" s="60"/>
      <c r="AD31" s="60"/>
      <c r="AE31" s="60"/>
      <c r="AF31" s="60"/>
      <c r="AG31" s="60"/>
      <c r="AH31" s="60"/>
      <c r="AI31" s="60"/>
      <c r="AJ31" s="61"/>
      <c r="AK31" s="61"/>
      <c r="AL31" s="62" t="n">
        <v>7</v>
      </c>
      <c r="AM31" s="60" t="s">
        <v>69</v>
      </c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1"/>
      <c r="AY31" s="61"/>
      <c r="AZ31" s="62" t="s">
        <v>44</v>
      </c>
      <c r="BA31" s="60" t="s">
        <v>70</v>
      </c>
      <c r="BB31" s="60"/>
      <c r="BC31" s="60"/>
      <c r="BD31" s="60"/>
      <c r="BE31" s="60"/>
      <c r="BF31" s="60"/>
      <c r="BG31" s="60"/>
      <c r="BH31" s="60"/>
      <c r="BI31" s="60"/>
      <c r="BJ31" s="60"/>
      <c r="BK31" s="63"/>
      <c r="BL31" s="63"/>
    </row>
    <row r="32" customFormat="false" ht="18" hidden="false" customHeight="true" outlineLevel="0" collapsed="false">
      <c r="A32" s="59" t="n">
        <v>2</v>
      </c>
      <c r="B32" s="60" t="s">
        <v>71</v>
      </c>
      <c r="C32" s="60"/>
      <c r="D32" s="60"/>
      <c r="E32" s="60"/>
      <c r="F32" s="60"/>
      <c r="G32" s="60"/>
      <c r="H32" s="60"/>
      <c r="I32" s="60"/>
      <c r="J32" s="60"/>
      <c r="K32" s="61"/>
      <c r="L32" s="61"/>
      <c r="M32" s="62" t="n">
        <v>4</v>
      </c>
      <c r="N32" s="60" t="s">
        <v>72</v>
      </c>
      <c r="O32" s="60"/>
      <c r="P32" s="60"/>
      <c r="Q32" s="60"/>
      <c r="R32" s="60"/>
      <c r="S32" s="60"/>
      <c r="T32" s="60"/>
      <c r="U32" s="60"/>
      <c r="V32" s="60"/>
      <c r="W32" s="60"/>
      <c r="X32" s="61"/>
      <c r="Y32" s="61"/>
      <c r="Z32" s="62" t="n">
        <v>6</v>
      </c>
      <c r="AA32" s="60" t="s">
        <v>73</v>
      </c>
      <c r="AB32" s="60"/>
      <c r="AC32" s="60"/>
      <c r="AD32" s="60"/>
      <c r="AE32" s="60"/>
      <c r="AF32" s="60"/>
      <c r="AG32" s="60"/>
      <c r="AH32" s="60"/>
      <c r="AI32" s="60"/>
      <c r="AJ32" s="61"/>
      <c r="AK32" s="61"/>
      <c r="AL32" s="62" t="n">
        <v>8</v>
      </c>
      <c r="AM32" s="60" t="s">
        <v>74</v>
      </c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1"/>
      <c r="AY32" s="61"/>
      <c r="AZ32" s="64" t="n">
        <v>10</v>
      </c>
      <c r="BA32" s="60" t="s">
        <v>75</v>
      </c>
      <c r="BB32" s="60"/>
      <c r="BC32" s="60"/>
      <c r="BD32" s="60"/>
      <c r="BE32" s="60"/>
      <c r="BF32" s="60"/>
      <c r="BG32" s="60"/>
      <c r="BH32" s="60"/>
      <c r="BI32" s="60"/>
      <c r="BJ32" s="60"/>
      <c r="BK32" s="63"/>
      <c r="BL32" s="63"/>
    </row>
    <row r="33" customFormat="false" ht="22.5" hidden="false" customHeight="true" outlineLevel="0" collapsed="false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</row>
    <row r="34" customFormat="false" ht="22.5" hidden="false" customHeight="true" outlineLevel="0" collapsed="false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7"/>
    </row>
    <row r="35" customFormat="false" ht="24.95" hidden="false" customHeight="true" outlineLevel="0" collapsed="false">
      <c r="A35" s="68" t="s">
        <v>76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9" t="s">
        <v>77</v>
      </c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</row>
    <row r="36" customFormat="false" ht="9.95" hidden="false" customHeight="true" outlineLevel="0" collapsed="false"/>
    <row r="37" customFormat="false" ht="17.25" hidden="false" customHeight="true" outlineLevel="0" collapsed="false">
      <c r="A37" s="70" t="s">
        <v>78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1" t="s">
        <v>65</v>
      </c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</row>
    <row r="38" customFormat="false" ht="12.75" hidden="false" customHeight="true" outlineLevel="0" collapsed="false">
      <c r="A38" s="72" t="s">
        <v>79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3" t="s">
        <v>80</v>
      </c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</row>
    <row r="39" customFormat="false" ht="27.75" hidden="false" customHeight="true" outlineLevel="0" collapsed="false">
      <c r="A39" s="74" t="s">
        <v>81</v>
      </c>
      <c r="B39" s="74"/>
      <c r="C39" s="75" t="s">
        <v>82</v>
      </c>
      <c r="D39" s="75"/>
      <c r="E39" s="75"/>
      <c r="F39" s="75"/>
      <c r="G39" s="75"/>
      <c r="H39" s="75"/>
      <c r="I39" s="75"/>
      <c r="J39" s="75"/>
      <c r="K39" s="76"/>
      <c r="L39" s="76"/>
      <c r="M39" s="77" t="s">
        <v>83</v>
      </c>
      <c r="N39" s="77"/>
      <c r="O39" s="75" t="s">
        <v>84</v>
      </c>
      <c r="P39" s="75"/>
      <c r="Q39" s="75"/>
      <c r="R39" s="75"/>
      <c r="S39" s="75"/>
      <c r="T39" s="75"/>
      <c r="U39" s="75"/>
      <c r="V39" s="75"/>
      <c r="W39" s="76"/>
      <c r="X39" s="76"/>
      <c r="Y39" s="77" t="s">
        <v>85</v>
      </c>
      <c r="Z39" s="77"/>
      <c r="AA39" s="75" t="s">
        <v>86</v>
      </c>
      <c r="AB39" s="75"/>
      <c r="AC39" s="75"/>
      <c r="AD39" s="75"/>
      <c r="AE39" s="75"/>
      <c r="AF39" s="75"/>
      <c r="AG39" s="75"/>
      <c r="AH39" s="75"/>
      <c r="AI39" s="75"/>
      <c r="AJ39" s="78"/>
      <c r="AK39" s="78"/>
      <c r="AL39" s="79" t="s">
        <v>87</v>
      </c>
      <c r="AM39" s="79"/>
      <c r="AN39" s="75" t="s">
        <v>71</v>
      </c>
      <c r="AO39" s="75"/>
      <c r="AP39" s="75"/>
      <c r="AQ39" s="75"/>
      <c r="AR39" s="75"/>
      <c r="AS39" s="75"/>
      <c r="AT39" s="75"/>
      <c r="AU39" s="75"/>
      <c r="AV39" s="76"/>
      <c r="AW39" s="76"/>
      <c r="AX39" s="77" t="s">
        <v>88</v>
      </c>
      <c r="AY39" s="77"/>
      <c r="AZ39" s="75" t="s">
        <v>89</v>
      </c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80"/>
      <c r="BL39" s="80"/>
    </row>
    <row r="40" customFormat="false" ht="27.75" hidden="false" customHeight="true" outlineLevel="0" collapsed="false">
      <c r="A40" s="74" t="s">
        <v>90</v>
      </c>
      <c r="B40" s="74"/>
      <c r="C40" s="75" t="s">
        <v>91</v>
      </c>
      <c r="D40" s="75"/>
      <c r="E40" s="75"/>
      <c r="F40" s="75"/>
      <c r="G40" s="75"/>
      <c r="H40" s="75"/>
      <c r="I40" s="75"/>
      <c r="J40" s="75"/>
      <c r="K40" s="76"/>
      <c r="L40" s="76"/>
      <c r="M40" s="77" t="s">
        <v>92</v>
      </c>
      <c r="N40" s="77"/>
      <c r="O40" s="75" t="s">
        <v>93</v>
      </c>
      <c r="P40" s="75"/>
      <c r="Q40" s="75"/>
      <c r="R40" s="75"/>
      <c r="S40" s="75"/>
      <c r="T40" s="75"/>
      <c r="U40" s="75"/>
      <c r="V40" s="75"/>
      <c r="W40" s="76"/>
      <c r="X40" s="76"/>
      <c r="Y40" s="77" t="s">
        <v>94</v>
      </c>
      <c r="Z40" s="77"/>
      <c r="AA40" s="75" t="s">
        <v>95</v>
      </c>
      <c r="AB40" s="75"/>
      <c r="AC40" s="75"/>
      <c r="AD40" s="75"/>
      <c r="AE40" s="75"/>
      <c r="AF40" s="75"/>
      <c r="AG40" s="75"/>
      <c r="AH40" s="75"/>
      <c r="AI40" s="75"/>
      <c r="AJ40" s="78"/>
      <c r="AK40" s="78"/>
      <c r="AL40" s="79" t="s">
        <v>96</v>
      </c>
      <c r="AM40" s="79"/>
      <c r="AN40" s="75" t="s">
        <v>67</v>
      </c>
      <c r="AO40" s="75"/>
      <c r="AP40" s="75"/>
      <c r="AQ40" s="75"/>
      <c r="AR40" s="75"/>
      <c r="AS40" s="75"/>
      <c r="AT40" s="75"/>
      <c r="AU40" s="75"/>
      <c r="AV40" s="76"/>
      <c r="AW40" s="76"/>
      <c r="AX40" s="77" t="s">
        <v>97</v>
      </c>
      <c r="AY40" s="77"/>
      <c r="AZ40" s="75" t="s">
        <v>98</v>
      </c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80"/>
      <c r="BL40" s="80"/>
    </row>
    <row r="41" customFormat="false" ht="27.75" hidden="false" customHeight="true" outlineLevel="0" collapsed="false">
      <c r="A41" s="74" t="s">
        <v>99</v>
      </c>
      <c r="B41" s="74"/>
      <c r="C41" s="75" t="s">
        <v>100</v>
      </c>
      <c r="D41" s="75"/>
      <c r="E41" s="75"/>
      <c r="F41" s="75"/>
      <c r="G41" s="75"/>
      <c r="H41" s="75"/>
      <c r="I41" s="75"/>
      <c r="J41" s="75"/>
      <c r="K41" s="76"/>
      <c r="L41" s="76"/>
      <c r="M41" s="77" t="s">
        <v>101</v>
      </c>
      <c r="N41" s="77"/>
      <c r="O41" s="75" t="s">
        <v>102</v>
      </c>
      <c r="P41" s="75"/>
      <c r="Q41" s="75"/>
      <c r="R41" s="75"/>
      <c r="S41" s="75"/>
      <c r="T41" s="75"/>
      <c r="U41" s="75"/>
      <c r="V41" s="75"/>
      <c r="W41" s="76"/>
      <c r="X41" s="76"/>
      <c r="Y41" s="77" t="s">
        <v>103</v>
      </c>
      <c r="Z41" s="77"/>
      <c r="AA41" s="75" t="s">
        <v>104</v>
      </c>
      <c r="AB41" s="75"/>
      <c r="AC41" s="75"/>
      <c r="AD41" s="75"/>
      <c r="AE41" s="75"/>
      <c r="AF41" s="75"/>
      <c r="AG41" s="75"/>
      <c r="AH41" s="75"/>
      <c r="AI41" s="75"/>
      <c r="AJ41" s="78"/>
      <c r="AK41" s="78"/>
      <c r="AL41" s="79" t="s">
        <v>105</v>
      </c>
      <c r="AM41" s="79"/>
      <c r="AN41" s="75" t="s">
        <v>106</v>
      </c>
      <c r="AO41" s="75"/>
      <c r="AP41" s="75"/>
      <c r="AQ41" s="75"/>
      <c r="AR41" s="75"/>
      <c r="AS41" s="75"/>
      <c r="AT41" s="75"/>
      <c r="AU41" s="75"/>
      <c r="AV41" s="76"/>
      <c r="AW41" s="76"/>
      <c r="AX41" s="77" t="s">
        <v>107</v>
      </c>
      <c r="AY41" s="77"/>
      <c r="AZ41" s="75" t="s">
        <v>108</v>
      </c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80"/>
      <c r="BL41" s="80"/>
    </row>
    <row r="42" customFormat="false" ht="27.75" hidden="false" customHeight="true" outlineLevel="0" collapsed="false">
      <c r="A42" s="74" t="s">
        <v>109</v>
      </c>
      <c r="B42" s="74"/>
      <c r="C42" s="75" t="s">
        <v>110</v>
      </c>
      <c r="D42" s="75"/>
      <c r="E42" s="75"/>
      <c r="F42" s="75"/>
      <c r="G42" s="75"/>
      <c r="H42" s="75"/>
      <c r="I42" s="75"/>
      <c r="J42" s="75"/>
      <c r="K42" s="76"/>
      <c r="L42" s="76"/>
      <c r="M42" s="77" t="s">
        <v>111</v>
      </c>
      <c r="N42" s="77"/>
      <c r="O42" s="75" t="s">
        <v>112</v>
      </c>
      <c r="P42" s="75"/>
      <c r="Q42" s="75"/>
      <c r="R42" s="75"/>
      <c r="S42" s="75"/>
      <c r="T42" s="75"/>
      <c r="U42" s="75"/>
      <c r="V42" s="75"/>
      <c r="W42" s="76"/>
      <c r="X42" s="76"/>
      <c r="Y42" s="77" t="s">
        <v>113</v>
      </c>
      <c r="Z42" s="77"/>
      <c r="AA42" s="75" t="s">
        <v>114</v>
      </c>
      <c r="AB42" s="75"/>
      <c r="AC42" s="75"/>
      <c r="AD42" s="75"/>
      <c r="AE42" s="75"/>
      <c r="AF42" s="75"/>
      <c r="AG42" s="75"/>
      <c r="AH42" s="75"/>
      <c r="AI42" s="75"/>
      <c r="AJ42" s="78"/>
      <c r="AK42" s="78"/>
      <c r="AL42" s="79" t="s">
        <v>115</v>
      </c>
      <c r="AM42" s="79"/>
      <c r="AN42" s="75" t="s">
        <v>68</v>
      </c>
      <c r="AO42" s="75"/>
      <c r="AP42" s="75"/>
      <c r="AQ42" s="75"/>
      <c r="AR42" s="75"/>
      <c r="AS42" s="75"/>
      <c r="AT42" s="75"/>
      <c r="AU42" s="75"/>
      <c r="AV42" s="76"/>
      <c r="AW42" s="76"/>
      <c r="AX42" s="77" t="s">
        <v>116</v>
      </c>
      <c r="AY42" s="77"/>
      <c r="AZ42" s="75" t="s">
        <v>70</v>
      </c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80"/>
      <c r="BL42" s="80"/>
    </row>
    <row r="43" customFormat="false" ht="27.75" hidden="false" customHeight="true" outlineLevel="0" collapsed="false">
      <c r="A43" s="81" t="s">
        <v>117</v>
      </c>
      <c r="B43" s="81"/>
      <c r="C43" s="82" t="s">
        <v>118</v>
      </c>
      <c r="D43" s="82"/>
      <c r="E43" s="82"/>
      <c r="F43" s="82"/>
      <c r="G43" s="82"/>
      <c r="H43" s="82"/>
      <c r="I43" s="82"/>
      <c r="J43" s="82"/>
      <c r="K43" s="83"/>
      <c r="L43" s="83"/>
      <c r="M43" s="84" t="s">
        <v>119</v>
      </c>
      <c r="N43" s="84"/>
      <c r="O43" s="82" t="s">
        <v>120</v>
      </c>
      <c r="P43" s="82"/>
      <c r="Q43" s="82"/>
      <c r="R43" s="82"/>
      <c r="S43" s="82"/>
      <c r="T43" s="82"/>
      <c r="U43" s="82"/>
      <c r="V43" s="82"/>
      <c r="W43" s="83"/>
      <c r="X43" s="83"/>
      <c r="Y43" s="84" t="s">
        <v>121</v>
      </c>
      <c r="Z43" s="84"/>
      <c r="AA43" s="82" t="s">
        <v>122</v>
      </c>
      <c r="AB43" s="82"/>
      <c r="AC43" s="82"/>
      <c r="AD43" s="82"/>
      <c r="AE43" s="82"/>
      <c r="AF43" s="82"/>
      <c r="AG43" s="82"/>
      <c r="AH43" s="82"/>
      <c r="AI43" s="82"/>
      <c r="AJ43" s="85"/>
      <c r="AK43" s="85"/>
      <c r="AL43" s="86" t="s">
        <v>123</v>
      </c>
      <c r="AM43" s="86"/>
      <c r="AN43" s="82" t="s">
        <v>124</v>
      </c>
      <c r="AO43" s="82"/>
      <c r="AP43" s="82"/>
      <c r="AQ43" s="82"/>
      <c r="AR43" s="82"/>
      <c r="AS43" s="82"/>
      <c r="AT43" s="82"/>
      <c r="AU43" s="82"/>
      <c r="AV43" s="83"/>
      <c r="AW43" s="83"/>
      <c r="AX43" s="84" t="s">
        <v>125</v>
      </c>
      <c r="AY43" s="84"/>
      <c r="AZ43" s="82" t="s">
        <v>126</v>
      </c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7"/>
      <c r="BL43" s="87"/>
    </row>
    <row r="44" customFormat="false" ht="70.5" hidden="false" customHeight="true" outlineLevel="0" collapsed="false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</row>
    <row r="45" customFormat="false" ht="9.75" hidden="false" customHeight="true" outlineLevel="0" collapsed="false"/>
    <row r="46" customFormat="false" ht="16.5" hidden="false" customHeight="true" outlineLevel="0" collapsed="false">
      <c r="A46" s="89" t="s">
        <v>127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90" t="s">
        <v>128</v>
      </c>
      <c r="S46" s="90"/>
      <c r="T46" s="90"/>
      <c r="U46" s="90"/>
      <c r="V46" s="90"/>
      <c r="W46" s="90"/>
      <c r="X46" s="90"/>
      <c r="Y46" s="91" t="s">
        <v>129</v>
      </c>
      <c r="Z46" s="91"/>
      <c r="AA46" s="91"/>
      <c r="AB46" s="91"/>
      <c r="AC46" s="92" t="s">
        <v>130</v>
      </c>
      <c r="AD46" s="92"/>
      <c r="AE46" s="92" t="s">
        <v>131</v>
      </c>
      <c r="AF46" s="92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1" t="s">
        <v>129</v>
      </c>
      <c r="BF46" s="91"/>
      <c r="BG46" s="91"/>
      <c r="BH46" s="91"/>
      <c r="BI46" s="92" t="s">
        <v>130</v>
      </c>
      <c r="BJ46" s="92"/>
      <c r="BK46" s="94" t="s">
        <v>131</v>
      </c>
      <c r="BL46" s="94"/>
    </row>
    <row r="47" customFormat="false" ht="23.45" hidden="false" customHeight="true" outlineLevel="0" collapsed="false">
      <c r="A47" s="95" t="s">
        <v>132</v>
      </c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7"/>
      <c r="AD47" s="97"/>
      <c r="AE47" s="97"/>
      <c r="AF47" s="97"/>
      <c r="AG47" s="98" t="s">
        <v>133</v>
      </c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7"/>
      <c r="BJ47" s="97"/>
      <c r="BK47" s="99"/>
      <c r="BL47" s="99"/>
    </row>
    <row r="48" customFormat="false" ht="18" hidden="false" customHeight="true" outlineLevel="0" collapsed="false">
      <c r="A48" s="95" t="s">
        <v>134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7"/>
      <c r="AD48" s="97"/>
      <c r="AE48" s="97"/>
      <c r="AF48" s="97"/>
      <c r="AG48" s="98" t="s">
        <v>135</v>
      </c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7"/>
      <c r="BJ48" s="97"/>
      <c r="BK48" s="99"/>
      <c r="BL48" s="99"/>
    </row>
    <row r="49" customFormat="false" ht="21.95" hidden="false" customHeight="true" outlineLevel="0" collapsed="false">
      <c r="A49" s="100" t="s">
        <v>136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2"/>
      <c r="AD49" s="102"/>
      <c r="AE49" s="102"/>
      <c r="AF49" s="102"/>
      <c r="AG49" s="103" t="s">
        <v>137</v>
      </c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2"/>
      <c r="BJ49" s="102"/>
      <c r="BK49" s="104"/>
      <c r="BL49" s="104"/>
    </row>
    <row r="50" customFormat="false" ht="9.95" hidden="false" customHeight="true" outlineLevel="0" collapsed="false"/>
    <row r="51" customFormat="false" ht="16.5" hidden="false" customHeight="true" outlineLevel="0" collapsed="false">
      <c r="A51" s="70" t="s">
        <v>138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105" t="s">
        <v>139</v>
      </c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</row>
    <row r="52" customFormat="false" ht="33" hidden="false" customHeight="true" outlineLevel="0" collapsed="false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</row>
    <row r="53" customFormat="false" ht="33.75" hidden="false" customHeight="true" outlineLevel="0" collapsed="false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</row>
    <row r="54" customFormat="false" ht="22.5" hidden="false" customHeight="true" outlineLevel="0" collapsed="false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</row>
    <row r="55" customFormat="false" ht="22.5" hidden="false" customHeight="true" outlineLevel="0" collapsed="false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</row>
    <row r="56" customFormat="false" ht="22.5" hidden="false" customHeight="true" outlineLevel="0" collapsed="false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</row>
    <row r="57" customFormat="false" ht="22.5" hidden="false" customHeight="true" outlineLevel="0" collapsed="false">
      <c r="A57" s="107" t="s">
        <v>140</v>
      </c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</row>
    <row r="58" customFormat="false" ht="9.95" hidden="false" customHeight="true" outlineLevel="0" collapsed="false">
      <c r="AJ58" s="108"/>
      <c r="AK58" s="108"/>
      <c r="AL58" s="108"/>
      <c r="AM58" s="108"/>
      <c r="AN58" s="108"/>
    </row>
    <row r="59" customFormat="false" ht="16.5" hidden="false" customHeight="true" outlineLevel="0" collapsed="false">
      <c r="A59" s="2" t="s">
        <v>141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customFormat="false" ht="20.25" hidden="false" customHeight="true" outlineLevel="0" collapsed="false">
      <c r="A60" s="15" t="s">
        <v>142</v>
      </c>
      <c r="B60" s="15"/>
      <c r="C60" s="15"/>
      <c r="D60" s="15"/>
      <c r="E60" s="15"/>
      <c r="F60" s="15"/>
      <c r="G60" s="15"/>
      <c r="H60" s="15"/>
      <c r="I60" s="17" t="s">
        <v>143</v>
      </c>
      <c r="J60" s="17"/>
      <c r="K60" s="17"/>
      <c r="L60" s="17"/>
      <c r="M60" s="17"/>
      <c r="N60" s="17"/>
      <c r="O60" s="17" t="s">
        <v>12</v>
      </c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 t="s">
        <v>10</v>
      </c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8" t="s">
        <v>11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</row>
    <row r="61" customFormat="false" ht="24.95" hidden="false" customHeight="true" outlineLevel="0" collapsed="false">
      <c r="A61" s="109" t="n">
        <f aca="true">TODAY()</f>
        <v>46297</v>
      </c>
      <c r="B61" s="109"/>
      <c r="C61" s="109"/>
      <c r="D61" s="109"/>
      <c r="E61" s="109"/>
      <c r="F61" s="109"/>
      <c r="G61" s="109"/>
      <c r="H61" s="109"/>
      <c r="I61" s="52" t="n">
        <f aca="true">NOW()</f>
        <v>46297.854993631</v>
      </c>
      <c r="J61" s="52"/>
      <c r="K61" s="52"/>
      <c r="L61" s="52"/>
      <c r="M61" s="52"/>
      <c r="N61" s="52"/>
      <c r="O61" s="53" t="s">
        <v>144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 t="s">
        <v>145</v>
      </c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4" t="s">
        <v>146</v>
      </c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</row>
    <row r="62" customFormat="false" ht="18" hidden="false" customHeight="true" outlineLevel="0" collapsed="false">
      <c r="A62" s="15" t="s">
        <v>147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7" t="s">
        <v>148</v>
      </c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8" t="s">
        <v>149</v>
      </c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</row>
    <row r="63" customFormat="false" ht="49.5" hidden="false" customHeight="true" outlineLevel="0" collapsed="false">
      <c r="A63" s="55" t="n">
        <v>1756930234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</row>
    <row r="64" customFormat="false" ht="9.95" hidden="false" customHeight="true" outlineLevel="0" collapsed="false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</row>
    <row r="65" customFormat="false" ht="15.95" hidden="false" customHeight="true" outlineLevel="0" collapsed="false">
      <c r="A65" s="68" t="s">
        <v>76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111" t="s">
        <v>150</v>
      </c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</row>
  </sheetData>
  <mergeCells count="291">
    <mergeCell ref="A1:BL1"/>
    <mergeCell ref="A2:M2"/>
    <mergeCell ref="N2:S2"/>
    <mergeCell ref="T2:AG2"/>
    <mergeCell ref="AH2:AY2"/>
    <mergeCell ref="AZ2:BI2"/>
    <mergeCell ref="BJ2:BL2"/>
    <mergeCell ref="A3:M3"/>
    <mergeCell ref="N3:S3"/>
    <mergeCell ref="T3:AG3"/>
    <mergeCell ref="AH3:AY3"/>
    <mergeCell ref="AZ3:BI3"/>
    <mergeCell ref="BJ3:BL3"/>
    <mergeCell ref="A4:N4"/>
    <mergeCell ref="O4:AB4"/>
    <mergeCell ref="AC4:AP4"/>
    <mergeCell ref="AQ4:BD4"/>
    <mergeCell ref="BE4:BH4"/>
    <mergeCell ref="BI4:BL4"/>
    <mergeCell ref="A5:N5"/>
    <mergeCell ref="O5:AB5"/>
    <mergeCell ref="AC5:AP5"/>
    <mergeCell ref="AQ5:BD5"/>
    <mergeCell ref="BE5:BH5"/>
    <mergeCell ref="BI5:BL5"/>
    <mergeCell ref="A6:BL6"/>
    <mergeCell ref="A7:N7"/>
    <mergeCell ref="O7:AG7"/>
    <mergeCell ref="AH7:AZ7"/>
    <mergeCell ref="BA7:BL7"/>
    <mergeCell ref="A8:N8"/>
    <mergeCell ref="O8:AG8"/>
    <mergeCell ref="AH8:AZ8"/>
    <mergeCell ref="BA8:BL8"/>
    <mergeCell ref="A10:AJ10"/>
    <mergeCell ref="AK10:AR10"/>
    <mergeCell ref="AS10:AV10"/>
    <mergeCell ref="AW10:BH10"/>
    <mergeCell ref="BI10:BL10"/>
    <mergeCell ref="A11:BL11"/>
    <mergeCell ref="A13:AN13"/>
    <mergeCell ref="AO13:BL13"/>
    <mergeCell ref="A14:E14"/>
    <mergeCell ref="F14:G14"/>
    <mergeCell ref="H14:L14"/>
    <mergeCell ref="M14:N14"/>
    <mergeCell ref="O14:R14"/>
    <mergeCell ref="S14:T14"/>
    <mergeCell ref="U14:Y14"/>
    <mergeCell ref="Z14:AA14"/>
    <mergeCell ref="AB14:AE14"/>
    <mergeCell ref="AF14:AG14"/>
    <mergeCell ref="AH14:AM14"/>
    <mergeCell ref="AN14:AO14"/>
    <mergeCell ref="AP14:AR14"/>
    <mergeCell ref="AS14:AT14"/>
    <mergeCell ref="AU14:AX14"/>
    <mergeCell ref="AY14:AZ14"/>
    <mergeCell ref="BA14:BD14"/>
    <mergeCell ref="BE14:BF14"/>
    <mergeCell ref="BG14:BJ14"/>
    <mergeCell ref="BK14:BL14"/>
    <mergeCell ref="A15:BL15"/>
    <mergeCell ref="A17:BL17"/>
    <mergeCell ref="A18:E18"/>
    <mergeCell ref="F18:G18"/>
    <mergeCell ref="H18:L18"/>
    <mergeCell ref="M18:N18"/>
    <mergeCell ref="O18:R18"/>
    <mergeCell ref="S18:T18"/>
    <mergeCell ref="U18:Y18"/>
    <mergeCell ref="Z18:AA18"/>
    <mergeCell ref="AB18:AE18"/>
    <mergeCell ref="AF18:AG18"/>
    <mergeCell ref="AH18:AM18"/>
    <mergeCell ref="AN18:AO18"/>
    <mergeCell ref="AP18:AR18"/>
    <mergeCell ref="AS18:AT18"/>
    <mergeCell ref="AU18:AX18"/>
    <mergeCell ref="AY18:AZ18"/>
    <mergeCell ref="BA18:BD18"/>
    <mergeCell ref="BE18:BF18"/>
    <mergeCell ref="BG18:BJ18"/>
    <mergeCell ref="BK18:BL18"/>
    <mergeCell ref="A19:BL19"/>
    <mergeCell ref="A20:BL20"/>
    <mergeCell ref="A21:BL21"/>
    <mergeCell ref="A23:AM23"/>
    <mergeCell ref="AN23:BL23"/>
    <mergeCell ref="A24:BL24"/>
    <mergeCell ref="A25:BL25"/>
    <mergeCell ref="A26:E26"/>
    <mergeCell ref="F26:J26"/>
    <mergeCell ref="K26:N26"/>
    <mergeCell ref="O26:S26"/>
    <mergeCell ref="T26:X26"/>
    <mergeCell ref="AD26:AH26"/>
    <mergeCell ref="AI26:AM26"/>
    <mergeCell ref="AN26:AR26"/>
    <mergeCell ref="AS26:AW26"/>
    <mergeCell ref="AX26:BB26"/>
    <mergeCell ref="BC26:BG26"/>
    <mergeCell ref="BH26:BL26"/>
    <mergeCell ref="A27:E27"/>
    <mergeCell ref="F27:J27"/>
    <mergeCell ref="K27:N27"/>
    <mergeCell ref="O27:S27"/>
    <mergeCell ref="T27:X27"/>
    <mergeCell ref="Y27:AC27"/>
    <mergeCell ref="AD27:AH27"/>
    <mergeCell ref="AI27:AM27"/>
    <mergeCell ref="AN27:AR27"/>
    <mergeCell ref="AS27:AW27"/>
    <mergeCell ref="AX27:BB27"/>
    <mergeCell ref="BC27:BG27"/>
    <mergeCell ref="BH27:BL27"/>
    <mergeCell ref="A28:E28"/>
    <mergeCell ref="F28:J28"/>
    <mergeCell ref="K28:N28"/>
    <mergeCell ref="O28:S28"/>
    <mergeCell ref="T28:X28"/>
    <mergeCell ref="Y28:AC28"/>
    <mergeCell ref="AD28:AH28"/>
    <mergeCell ref="AI28:AM28"/>
    <mergeCell ref="AN28:AR28"/>
    <mergeCell ref="AS28:AW28"/>
    <mergeCell ref="AX28:BB28"/>
    <mergeCell ref="BC28:BG28"/>
    <mergeCell ref="BH28:BL28"/>
    <mergeCell ref="A30:AI30"/>
    <mergeCell ref="AJ30:BL30"/>
    <mergeCell ref="B31:J31"/>
    <mergeCell ref="K31:L31"/>
    <mergeCell ref="N31:W31"/>
    <mergeCell ref="X31:Y31"/>
    <mergeCell ref="AA31:AI31"/>
    <mergeCell ref="AJ31:AK31"/>
    <mergeCell ref="AM31:AW31"/>
    <mergeCell ref="AX31:AY31"/>
    <mergeCell ref="BA31:BJ31"/>
    <mergeCell ref="BK31:BL31"/>
    <mergeCell ref="B32:J32"/>
    <mergeCell ref="K32:L32"/>
    <mergeCell ref="N32:W32"/>
    <mergeCell ref="X32:Y32"/>
    <mergeCell ref="AA32:AI32"/>
    <mergeCell ref="AJ32:AK32"/>
    <mergeCell ref="AM32:AW32"/>
    <mergeCell ref="AX32:AY32"/>
    <mergeCell ref="BA32:BJ32"/>
    <mergeCell ref="BK32:BL32"/>
    <mergeCell ref="A33:BL33"/>
    <mergeCell ref="A35:U35"/>
    <mergeCell ref="V35:BL35"/>
    <mergeCell ref="A37:AM37"/>
    <mergeCell ref="AN37:BL37"/>
    <mergeCell ref="A38:AK38"/>
    <mergeCell ref="AL38:BL38"/>
    <mergeCell ref="A39:B39"/>
    <mergeCell ref="C39:J39"/>
    <mergeCell ref="K39:L39"/>
    <mergeCell ref="M39:N39"/>
    <mergeCell ref="O39:V39"/>
    <mergeCell ref="W39:X39"/>
    <mergeCell ref="Y39:Z39"/>
    <mergeCell ref="AA39:AI39"/>
    <mergeCell ref="AJ39:AK39"/>
    <mergeCell ref="AL39:AM39"/>
    <mergeCell ref="AN39:AU39"/>
    <mergeCell ref="AV39:AW39"/>
    <mergeCell ref="AX39:AY39"/>
    <mergeCell ref="AZ39:BJ39"/>
    <mergeCell ref="BK39:BL39"/>
    <mergeCell ref="A40:B40"/>
    <mergeCell ref="C40:J40"/>
    <mergeCell ref="K40:L40"/>
    <mergeCell ref="M40:N40"/>
    <mergeCell ref="O40:V40"/>
    <mergeCell ref="W40:X40"/>
    <mergeCell ref="Y40:Z40"/>
    <mergeCell ref="AA40:AI40"/>
    <mergeCell ref="AJ40:AK40"/>
    <mergeCell ref="AL40:AM40"/>
    <mergeCell ref="AN40:AU40"/>
    <mergeCell ref="AV40:AW40"/>
    <mergeCell ref="AX40:AY40"/>
    <mergeCell ref="AZ40:BJ40"/>
    <mergeCell ref="BK40:BL40"/>
    <mergeCell ref="A41:B41"/>
    <mergeCell ref="C41:J41"/>
    <mergeCell ref="K41:L41"/>
    <mergeCell ref="M41:N41"/>
    <mergeCell ref="O41:V41"/>
    <mergeCell ref="W41:X41"/>
    <mergeCell ref="Y41:Z41"/>
    <mergeCell ref="AA41:AI41"/>
    <mergeCell ref="AJ41:AK41"/>
    <mergeCell ref="AL41:AM41"/>
    <mergeCell ref="AN41:AU41"/>
    <mergeCell ref="AV41:AW41"/>
    <mergeCell ref="AX41:AY41"/>
    <mergeCell ref="AZ41:BJ41"/>
    <mergeCell ref="BK41:BL41"/>
    <mergeCell ref="A42:B42"/>
    <mergeCell ref="C42:J42"/>
    <mergeCell ref="K42:L42"/>
    <mergeCell ref="M42:N42"/>
    <mergeCell ref="O42:V42"/>
    <mergeCell ref="W42:X42"/>
    <mergeCell ref="Y42:Z42"/>
    <mergeCell ref="AA42:AI42"/>
    <mergeCell ref="AJ42:AK42"/>
    <mergeCell ref="AL42:AM42"/>
    <mergeCell ref="AN42:AU42"/>
    <mergeCell ref="AV42:AW42"/>
    <mergeCell ref="AX42:AY42"/>
    <mergeCell ref="AZ42:BJ42"/>
    <mergeCell ref="BK42:BL42"/>
    <mergeCell ref="A43:B43"/>
    <mergeCell ref="C43:J43"/>
    <mergeCell ref="K43:L43"/>
    <mergeCell ref="M43:N43"/>
    <mergeCell ref="O43:V43"/>
    <mergeCell ref="W43:X43"/>
    <mergeCell ref="Y43:Z43"/>
    <mergeCell ref="AA43:AI43"/>
    <mergeCell ref="AJ43:AK43"/>
    <mergeCell ref="AL43:AM43"/>
    <mergeCell ref="AN43:AU43"/>
    <mergeCell ref="AV43:AW43"/>
    <mergeCell ref="AX43:AY43"/>
    <mergeCell ref="AZ43:BJ43"/>
    <mergeCell ref="BK43:BL43"/>
    <mergeCell ref="A44:BL44"/>
    <mergeCell ref="A46:Q46"/>
    <mergeCell ref="R46:X46"/>
    <mergeCell ref="Y46:AB46"/>
    <mergeCell ref="AC46:AD46"/>
    <mergeCell ref="AE46:AF46"/>
    <mergeCell ref="AG46:BD46"/>
    <mergeCell ref="BE46:BH46"/>
    <mergeCell ref="BI46:BJ46"/>
    <mergeCell ref="BK46:BL46"/>
    <mergeCell ref="B47:X47"/>
    <mergeCell ref="Y47:AB47"/>
    <mergeCell ref="AC47:AD47"/>
    <mergeCell ref="AE47:AF47"/>
    <mergeCell ref="AH47:BD47"/>
    <mergeCell ref="BE47:BH47"/>
    <mergeCell ref="BI47:BJ47"/>
    <mergeCell ref="BK47:BL47"/>
    <mergeCell ref="B48:X48"/>
    <mergeCell ref="Y48:AB48"/>
    <mergeCell ref="AC48:AD48"/>
    <mergeCell ref="AE48:AF48"/>
    <mergeCell ref="AH48:BD48"/>
    <mergeCell ref="BE48:BH48"/>
    <mergeCell ref="BI48:BJ48"/>
    <mergeCell ref="BK48:BL48"/>
    <mergeCell ref="B49:X49"/>
    <mergeCell ref="Y49:AB49"/>
    <mergeCell ref="AC49:AD49"/>
    <mergeCell ref="AE49:AF49"/>
    <mergeCell ref="AH49:BD49"/>
    <mergeCell ref="BE49:BH49"/>
    <mergeCell ref="BI49:BJ49"/>
    <mergeCell ref="BK49:BL49"/>
    <mergeCell ref="A51:AQ51"/>
    <mergeCell ref="AR51:BL51"/>
    <mergeCell ref="A52:BL56"/>
    <mergeCell ref="A57:BL57"/>
    <mergeCell ref="AJ58:AN58"/>
    <mergeCell ref="A59:BL59"/>
    <mergeCell ref="A60:H60"/>
    <mergeCell ref="I60:N60"/>
    <mergeCell ref="O60:AG60"/>
    <mergeCell ref="AH60:AX60"/>
    <mergeCell ref="AY60:BL60"/>
    <mergeCell ref="A61:H61"/>
    <mergeCell ref="I61:N61"/>
    <mergeCell ref="O61:AG61"/>
    <mergeCell ref="AH61:AX61"/>
    <mergeCell ref="AY61:BL61"/>
    <mergeCell ref="A62:N62"/>
    <mergeCell ref="O62:AK62"/>
    <mergeCell ref="AL62:BL62"/>
    <mergeCell ref="A63:N63"/>
    <mergeCell ref="O63:AK63"/>
    <mergeCell ref="AL63:BL63"/>
    <mergeCell ref="A65:U65"/>
    <mergeCell ref="V65:BL65"/>
  </mergeCells>
  <dataValidations count="1">
    <dataValidation allowBlank="true" errorStyle="stop" operator="between" showDropDown="false" showErrorMessage="true" showInputMessage="false" sqref="AZ3:BI3" type="date">
      <formula1>1</formula1>
      <formula2>55153</formula2>
    </dataValidation>
  </dataValidation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K3" activeCellId="0" sqref="BK3:BO3"/>
    </sheetView>
  </sheetViews>
  <sheetFormatPr defaultColWidth="1.70703125" defaultRowHeight="12.75" customHeight="true" zeroHeight="false" outlineLevelRow="0" outlineLevelCol="0"/>
  <cols>
    <col collapsed="false" customWidth="true" hidden="false" outlineLevel="0" max="59" min="1" style="112" width="1.99"/>
    <col collapsed="false" customWidth="true" hidden="false" outlineLevel="0" max="67" min="60" style="112" width="2.99"/>
    <col collapsed="false" customWidth="false" hidden="false" outlineLevel="0" max="257" min="68" style="112" width="1.7"/>
  </cols>
  <sheetData>
    <row r="1" customFormat="false" ht="16.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customFormat="false" ht="20.1" hidden="false" customHeight="true" outlineLevel="0" collapsed="false">
      <c r="A2" s="113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7" t="s">
        <v>2</v>
      </c>
      <c r="O2" s="7"/>
      <c r="P2" s="7"/>
      <c r="Q2" s="7"/>
      <c r="R2" s="7"/>
      <c r="S2" s="7"/>
      <c r="T2" s="6" t="s">
        <v>3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 t="s">
        <v>4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 t="s">
        <v>152</v>
      </c>
      <c r="BA2" s="7"/>
      <c r="BB2" s="7"/>
      <c r="BC2" s="7"/>
      <c r="BD2" s="7"/>
      <c r="BE2" s="7"/>
      <c r="BF2" s="7"/>
      <c r="BG2" s="7"/>
      <c r="BH2" s="7"/>
      <c r="BI2" s="7"/>
      <c r="BJ2" s="7"/>
      <c r="BK2" s="114" t="s">
        <v>6</v>
      </c>
      <c r="BL2" s="114"/>
      <c r="BM2" s="114"/>
      <c r="BN2" s="114"/>
      <c r="BO2" s="114"/>
    </row>
    <row r="3" customFormat="false" ht="12.75" hidden="false" customHeight="true" outlineLevel="0" collapsed="false">
      <c r="A3" s="115" t="str">
        <f aca="false">(HC!A3)</f>
        <v>RPC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6" t="n">
        <v>56398</v>
      </c>
      <c r="O3" s="116"/>
      <c r="P3" s="116"/>
      <c r="Q3" s="116"/>
      <c r="R3" s="116"/>
      <c r="S3" s="116"/>
      <c r="T3" s="116" t="str">
        <f aca="false">+HC!T3</f>
        <v>MEDISUPORT / QMC</v>
      </c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7" t="str">
        <f aca="false">HC!AH3</f>
        <v>1704289899</v>
      </c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 t="str">
        <f aca="false">+AH3</f>
        <v>1704289899</v>
      </c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8" t="n">
        <v>2</v>
      </c>
      <c r="BL3" s="118"/>
      <c r="BM3" s="118"/>
      <c r="BN3" s="118"/>
      <c r="BO3" s="118"/>
    </row>
    <row r="4" customFormat="false" ht="20.1" hidden="false" customHeight="true" outlineLevel="0" collapsed="false">
      <c r="A4" s="113" t="s">
        <v>10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6" t="s">
        <v>11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 t="s">
        <v>12</v>
      </c>
      <c r="AG4" s="6"/>
      <c r="AH4" s="6"/>
      <c r="AI4" s="6"/>
      <c r="AJ4" s="6"/>
      <c r="AK4" s="6"/>
      <c r="AL4" s="6"/>
      <c r="AM4" s="6"/>
      <c r="AN4" s="6"/>
      <c r="AO4" s="6"/>
      <c r="AP4" s="6" t="s">
        <v>13</v>
      </c>
      <c r="AQ4" s="6"/>
      <c r="AR4" s="6"/>
      <c r="AS4" s="6"/>
      <c r="AT4" s="6"/>
      <c r="AU4" s="6"/>
      <c r="AV4" s="6"/>
      <c r="AW4" s="6"/>
      <c r="AX4" s="6"/>
      <c r="AY4" s="6"/>
      <c r="AZ4" s="6"/>
      <c r="BA4" s="6" t="s">
        <v>14</v>
      </c>
      <c r="BB4" s="6"/>
      <c r="BC4" s="6"/>
      <c r="BD4" s="6" t="s">
        <v>153</v>
      </c>
      <c r="BE4" s="6"/>
      <c r="BF4" s="6"/>
      <c r="BG4" s="6"/>
      <c r="BH4" s="119" t="s">
        <v>154</v>
      </c>
      <c r="BI4" s="119"/>
      <c r="BJ4" s="119"/>
      <c r="BK4" s="119"/>
      <c r="BL4" s="119"/>
      <c r="BM4" s="119"/>
      <c r="BN4" s="119"/>
      <c r="BO4" s="119"/>
    </row>
    <row r="5" customFormat="false" ht="12.75" hidden="false" customHeight="true" outlineLevel="0" collapsed="false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120" t="s">
        <v>155</v>
      </c>
      <c r="BI5" s="120"/>
      <c r="BJ5" s="6" t="s">
        <v>156</v>
      </c>
      <c r="BK5" s="6"/>
      <c r="BL5" s="6" t="s">
        <v>157</v>
      </c>
      <c r="BM5" s="6"/>
      <c r="BN5" s="114" t="s">
        <v>158</v>
      </c>
      <c r="BO5" s="114"/>
    </row>
    <row r="6" customFormat="false" ht="13.5" hidden="false" customHeight="true" outlineLevel="0" collapsed="false">
      <c r="A6" s="121" t="str">
        <f aca="false">(HC!A5)</f>
        <v>AMENDAÑO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2" t="str">
        <f aca="false">(HC!O5)</f>
        <v>COLLAGUAZO</v>
      </c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 t="str">
        <f aca="false">(HC!AC5)</f>
        <v>LUZ</v>
      </c>
      <c r="AG6" s="122"/>
      <c r="AH6" s="122"/>
      <c r="AI6" s="122"/>
      <c r="AJ6" s="122"/>
      <c r="AK6" s="122"/>
      <c r="AL6" s="122"/>
      <c r="AM6" s="122"/>
      <c r="AN6" s="122"/>
      <c r="AO6" s="122"/>
      <c r="AP6" s="122" t="str">
        <f aca="false">(HC!AQ5)</f>
        <v>EDELINA</v>
      </c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 t="str">
        <f aca="false">(HC!BE5)</f>
        <v>F</v>
      </c>
      <c r="BB6" s="122"/>
      <c r="BC6" s="122"/>
      <c r="BD6" s="122" t="n">
        <f aca="false">SUM(HC!BI5)</f>
        <v>71</v>
      </c>
      <c r="BE6" s="122"/>
      <c r="BF6" s="122"/>
      <c r="BG6" s="122"/>
      <c r="BH6" s="122"/>
      <c r="BI6" s="122"/>
      <c r="BJ6" s="122"/>
      <c r="BK6" s="122"/>
      <c r="BL6" s="122"/>
      <c r="BM6" s="122"/>
      <c r="BN6" s="123" t="s">
        <v>44</v>
      </c>
      <c r="BO6" s="123"/>
    </row>
    <row r="7" customFormat="false" ht="14.1" hidden="false" customHeight="true" outlineLevel="0" collapsed="false"/>
    <row r="8" customFormat="false" ht="16.5" hidden="false" customHeight="true" outlineLevel="0" collapsed="false">
      <c r="A8" s="2" t="s">
        <v>159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customFormat="false" ht="12.75" hidden="false" customHeight="true" outlineLevel="0" collapsed="false">
      <c r="A9" s="124" t="s">
        <v>160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5" t="s">
        <v>161</v>
      </c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 t="s">
        <v>162</v>
      </c>
      <c r="AS9" s="125"/>
      <c r="AT9" s="125"/>
      <c r="AU9" s="125"/>
      <c r="AV9" s="125"/>
      <c r="AW9" s="125"/>
      <c r="AX9" s="125" t="s">
        <v>163</v>
      </c>
      <c r="AY9" s="125"/>
      <c r="AZ9" s="125"/>
      <c r="BA9" s="125"/>
      <c r="BB9" s="125"/>
      <c r="BC9" s="125"/>
      <c r="BD9" s="125"/>
      <c r="BE9" s="125"/>
      <c r="BF9" s="125"/>
      <c r="BG9" s="125"/>
      <c r="BH9" s="126" t="s">
        <v>164</v>
      </c>
      <c r="BI9" s="126"/>
      <c r="BJ9" s="126"/>
      <c r="BK9" s="126"/>
      <c r="BL9" s="126"/>
      <c r="BM9" s="126"/>
      <c r="BN9" s="126"/>
      <c r="BO9" s="126"/>
    </row>
    <row r="10" customFormat="false" ht="18" hidden="false" customHeight="true" outlineLevel="0" collapsed="false">
      <c r="A10" s="127" t="s">
        <v>165</v>
      </c>
      <c r="B10" s="127"/>
      <c r="C10" s="127"/>
      <c r="D10" s="127"/>
      <c r="E10" s="127"/>
      <c r="F10" s="127"/>
      <c r="G10" s="128"/>
      <c r="H10" s="128"/>
      <c r="I10" s="129" t="s">
        <v>166</v>
      </c>
      <c r="J10" s="129"/>
      <c r="K10" s="129"/>
      <c r="L10" s="129"/>
      <c r="M10" s="129"/>
      <c r="N10" s="128" t="s">
        <v>44</v>
      </c>
      <c r="O10" s="128"/>
      <c r="P10" s="130" t="s">
        <v>167</v>
      </c>
      <c r="Q10" s="130"/>
      <c r="R10" s="130"/>
      <c r="S10" s="130"/>
      <c r="T10" s="130"/>
      <c r="U10" s="130"/>
      <c r="V10" s="130"/>
      <c r="W10" s="128"/>
      <c r="X10" s="128"/>
      <c r="Y10" s="131" t="s">
        <v>168</v>
      </c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0" t="s">
        <v>169</v>
      </c>
      <c r="BI10" s="130"/>
      <c r="BJ10" s="132"/>
      <c r="BK10" s="132"/>
      <c r="BL10" s="130" t="s">
        <v>170</v>
      </c>
      <c r="BM10" s="130"/>
      <c r="BN10" s="133" t="s">
        <v>44</v>
      </c>
      <c r="BO10" s="133"/>
    </row>
    <row r="11" customFormat="false" ht="18.75" hidden="false" customHeight="true" outlineLevel="0" collapsed="false">
      <c r="A11" s="134" t="s">
        <v>171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</row>
    <row r="12" customFormat="false" ht="18.75" hidden="false" customHeight="true" outlineLevel="0" collapsed="false">
      <c r="A12" s="134" t="s">
        <v>172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</row>
    <row r="13" customFormat="false" ht="16.5" hidden="false" customHeight="true" outlineLevel="0" collapsed="false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</row>
    <row r="14" customFormat="false" ht="16.5" hidden="false" customHeight="true" outlineLevel="0" collapsed="false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</row>
    <row r="15" customFormat="false" ht="16.5" hidden="false" customHeight="true" outlineLevel="0" collapsed="false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 customFormat="false" ht="16.5" hidden="false" customHeight="true" outlineLevel="0" collapsed="false">
      <c r="A16" s="139" t="s">
        <v>173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40" t="s">
        <v>174</v>
      </c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</row>
    <row r="17" customFormat="false" ht="122.25" hidden="false" customHeight="true" outlineLevel="0" collapsed="false">
      <c r="A17" s="141" t="n">
        <f aca="false">+HC!A24</f>
        <v>0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</row>
    <row r="18" customFormat="false" ht="18" hidden="false" customHeight="true" outlineLevel="0" collapsed="false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</row>
    <row r="19" customFormat="false" ht="14.1" hidden="false" customHeight="true" outlineLevel="0" collapsed="false"/>
    <row r="20" customFormat="false" ht="16.5" hidden="false" customHeight="true" outlineLevel="0" collapsed="false">
      <c r="A20" s="143" t="s">
        <v>175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</row>
    <row r="21" customFormat="false" ht="18" hidden="false" customHeight="true" outlineLevel="0" collapsed="false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</row>
    <row r="22" customFormat="false" ht="18" hidden="false" customHeight="true" outlineLevel="0" collapsed="false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</row>
    <row r="23" customFormat="false" ht="18" hidden="false" customHeight="true" outlineLevel="0" collapsed="false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</row>
    <row r="24" customFormat="false" ht="18" hidden="false" customHeight="true" outlineLevel="0" collapsed="false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</row>
    <row r="25" customFormat="false" ht="18" hidden="false" customHeight="true" outlineLevel="0" collapsed="false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</row>
    <row r="26" customFormat="false" ht="18" hidden="false" customHeight="true" outlineLevel="0" collapsed="false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</row>
    <row r="27" customFormat="false" ht="18" hidden="false" customHeight="true" outlineLevel="0" collapsed="false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</row>
    <row r="28" customFormat="false" ht="18" hidden="false" customHeight="true" outlineLevel="0" collapsed="false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</row>
    <row r="29" customFormat="false" ht="14.1" hidden="false" customHeight="true" outlineLevel="0" collapsed="false"/>
    <row r="30" customFormat="false" ht="16.5" hidden="false" customHeight="true" outlineLevel="0" collapsed="false">
      <c r="A30" s="144" t="s">
        <v>176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5" t="s">
        <v>177</v>
      </c>
      <c r="S30" s="145"/>
      <c r="T30" s="145"/>
      <c r="U30" s="145"/>
      <c r="V30" s="145"/>
      <c r="W30" s="145"/>
      <c r="X30" s="145"/>
      <c r="Y30" s="145"/>
      <c r="Z30" s="145"/>
      <c r="AA30" s="146" t="s">
        <v>129</v>
      </c>
      <c r="AB30" s="146"/>
      <c r="AC30" s="146"/>
      <c r="AD30" s="146"/>
      <c r="AE30" s="147" t="s">
        <v>130</v>
      </c>
      <c r="AF30" s="147"/>
      <c r="AG30" s="147" t="s">
        <v>131</v>
      </c>
      <c r="AH30" s="147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6" t="s">
        <v>129</v>
      </c>
      <c r="BI30" s="146"/>
      <c r="BJ30" s="146"/>
      <c r="BK30" s="146"/>
      <c r="BL30" s="147" t="s">
        <v>130</v>
      </c>
      <c r="BM30" s="147"/>
      <c r="BN30" s="149" t="s">
        <v>131</v>
      </c>
      <c r="BO30" s="149"/>
    </row>
    <row r="31" customFormat="false" ht="18" hidden="false" customHeight="true" outlineLevel="0" collapsed="false">
      <c r="A31" s="150" t="s">
        <v>132</v>
      </c>
      <c r="B31" s="151" t="str">
        <f aca="false">IF(HC!B47=0," ",HC!B47)</f>
        <v> </v>
      </c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 t="str">
        <f aca="false">IF(HC!Y47=0," ",HC!Y47)</f>
        <v> </v>
      </c>
      <c r="AB31" s="151"/>
      <c r="AC31" s="151"/>
      <c r="AD31" s="151"/>
      <c r="AE31" s="128" t="str">
        <f aca="false">IF(HC!AC47=0," ",HC!AC47)</f>
        <v> </v>
      </c>
      <c r="AF31" s="128"/>
      <c r="AG31" s="128" t="str">
        <f aca="false">IF(HC!AE47=0," ",HC!AE47)</f>
        <v> </v>
      </c>
      <c r="AH31" s="128"/>
      <c r="AI31" s="98" t="s">
        <v>133</v>
      </c>
      <c r="AJ31" s="151" t="str">
        <f aca="false">IF(+HC!AH47="","",HC!AH47)</f>
        <v/>
      </c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 t="str">
        <f aca="false">IF(HC!BE47="","",HC!BE47)</f>
        <v/>
      </c>
      <c r="BI31" s="151"/>
      <c r="BJ31" s="151"/>
      <c r="BK31" s="151"/>
      <c r="BL31" s="128" t="str">
        <f aca="false">IF(HC!BI47=0," ",HC!BI47)</f>
        <v> </v>
      </c>
      <c r="BM31" s="128"/>
      <c r="BN31" s="152" t="str">
        <f aca="false">IF(HC!BK47=0," ",HC!BK47)</f>
        <v> </v>
      </c>
      <c r="BO31" s="152"/>
    </row>
    <row r="32" customFormat="false" ht="18" hidden="false" customHeight="true" outlineLevel="0" collapsed="false">
      <c r="A32" s="150" t="s">
        <v>134</v>
      </c>
      <c r="B32" s="151" t="str">
        <f aca="false">IF(HC!B48=0," ",HC!B48)</f>
        <v> </v>
      </c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 t="str">
        <f aca="false">IF(HC!Y48=0," ",HC!Y48)</f>
        <v> </v>
      </c>
      <c r="AB32" s="151"/>
      <c r="AC32" s="151"/>
      <c r="AD32" s="151"/>
      <c r="AE32" s="128" t="str">
        <f aca="false">IF(HC!AC48=0," ",HC!AC48)</f>
        <v> </v>
      </c>
      <c r="AF32" s="128"/>
      <c r="AG32" s="128" t="str">
        <f aca="false">IF(HC!AE48=0," ",HC!AE48)</f>
        <v> </v>
      </c>
      <c r="AH32" s="128"/>
      <c r="AI32" s="98" t="s">
        <v>135</v>
      </c>
      <c r="AJ32" s="151" t="str">
        <f aca="false">IF(+HC!AH48="","",HC!AH48)</f>
        <v/>
      </c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 t="str">
        <f aca="false">IF(HC!BE48="","",HC!BE48)</f>
        <v/>
      </c>
      <c r="BI32" s="151"/>
      <c r="BJ32" s="151"/>
      <c r="BK32" s="151"/>
      <c r="BL32" s="128" t="str">
        <f aca="false">IF(HC!BI48=0," ",HC!BI48)</f>
        <v> </v>
      </c>
      <c r="BM32" s="128"/>
      <c r="BN32" s="152" t="str">
        <f aca="false">IF(HC!BK48=0," ",HC!BK48)</f>
        <v> </v>
      </c>
      <c r="BO32" s="152"/>
    </row>
    <row r="33" customFormat="false" ht="18" hidden="false" customHeight="true" outlineLevel="0" collapsed="false">
      <c r="A33" s="153" t="s">
        <v>136</v>
      </c>
      <c r="B33" s="154" t="str">
        <f aca="false">IF(HC!B49=0," ",HC!B49)</f>
        <v> 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 t="str">
        <f aca="false">IF(HC!Y49=0," ",HC!Y49)</f>
        <v> </v>
      </c>
      <c r="AB33" s="154"/>
      <c r="AC33" s="154"/>
      <c r="AD33" s="154"/>
      <c r="AE33" s="155" t="str">
        <f aca="false">IF(HC!AC49=0," ",HC!AC49)</f>
        <v> </v>
      </c>
      <c r="AF33" s="155"/>
      <c r="AG33" s="155" t="str">
        <f aca="false">IF(HC!AE49=0," ",HC!AE49)</f>
        <v> </v>
      </c>
      <c r="AH33" s="155"/>
      <c r="AI33" s="156" t="s">
        <v>137</v>
      </c>
      <c r="AJ33" s="154" t="str">
        <f aca="false">IF(+HC!AH49="","",HC!AH49)</f>
        <v/>
      </c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7" t="str">
        <f aca="false">IF(HC!BE49="","",HC!BE49)</f>
        <v/>
      </c>
      <c r="BI33" s="157"/>
      <c r="BJ33" s="157"/>
      <c r="BK33" s="157"/>
      <c r="BL33" s="155" t="str">
        <f aca="false">IF(HC!BI49=0," ",HC!BI49)</f>
        <v> </v>
      </c>
      <c r="BM33" s="155"/>
      <c r="BN33" s="158" t="str">
        <f aca="false">IF(HC!BK49=0," ",HC!BK49)</f>
        <v> </v>
      </c>
      <c r="BO33" s="158"/>
    </row>
    <row r="34" customFormat="false" ht="14.1" hidden="false" customHeight="true" outlineLevel="0" collapsed="false"/>
    <row r="35" customFormat="false" ht="16.5" hidden="false" customHeight="true" outlineLevel="0" collapsed="false">
      <c r="A35" s="143" t="s">
        <v>178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</row>
    <row r="36" customFormat="false" ht="18" hidden="false" customHeight="true" outlineLevel="0" collapsed="false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</row>
    <row r="37" customFormat="false" ht="18" hidden="false" customHeight="true" outlineLevel="0" collapsed="false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</row>
    <row r="38" customFormat="false" ht="22.5" hidden="false" customHeight="true" outlineLevel="0" collapsed="false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</row>
    <row r="39" customFormat="false" ht="18" hidden="false" customHeight="true" outlineLevel="0" collapsed="false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</row>
    <row r="40" customFormat="false" ht="18" hidden="false" customHeight="true" outlineLevel="0" collapsed="false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</row>
    <row r="41" customFormat="false" ht="18" hidden="false" customHeight="true" outlineLevel="0" collapsed="false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</row>
    <row r="42" customFormat="false" ht="18" hidden="false" customHeight="true" outlineLevel="0" collapsed="false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1"/>
      <c r="BK42" s="141"/>
      <c r="BL42" s="141"/>
      <c r="BM42" s="141"/>
      <c r="BN42" s="141"/>
      <c r="BO42" s="141"/>
    </row>
    <row r="43" customFormat="false" ht="18" hidden="false" customHeight="true" outlineLevel="0" collapsed="false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</row>
    <row r="44" customFormat="false" ht="18" hidden="false" customHeight="true" outlineLevel="0" collapsed="false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</row>
    <row r="45" customFormat="false" ht="18" hidden="false" customHeight="true" outlineLevel="0" collapsed="false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</row>
    <row r="46" customFormat="false" ht="18" hidden="false" customHeight="true" outlineLevel="0" collapsed="false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</row>
    <row r="47" customFormat="false" ht="18" hidden="false" customHeight="true" outlineLevel="0" collapsed="false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</row>
    <row r="48" customFormat="false" ht="14.1" hidden="false" customHeight="true" outlineLevel="0" collapsed="false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0"/>
      <c r="BG48" s="160"/>
      <c r="BH48" s="160"/>
      <c r="BI48" s="160"/>
      <c r="BJ48" s="160"/>
      <c r="BK48" s="160"/>
      <c r="BL48" s="160"/>
    </row>
    <row r="49" customFormat="false" ht="16.5" hidden="false" customHeight="true" outlineLevel="0" collapsed="false">
      <c r="A49" s="2" t="s">
        <v>179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customFormat="false" ht="17.1" hidden="false" customHeight="true" outlineLevel="0" collapsed="false">
      <c r="A50" s="161" t="s">
        <v>180</v>
      </c>
      <c r="B50" s="161"/>
      <c r="C50" s="161"/>
      <c r="D50" s="161"/>
      <c r="E50" s="161"/>
      <c r="F50" s="161"/>
      <c r="G50" s="161"/>
      <c r="H50" s="161"/>
      <c r="I50" s="162" t="s">
        <v>181</v>
      </c>
      <c r="J50" s="162"/>
      <c r="K50" s="162"/>
      <c r="L50" s="162"/>
      <c r="M50" s="162"/>
      <c r="N50" s="162"/>
      <c r="O50" s="162" t="s">
        <v>12</v>
      </c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 t="s">
        <v>10</v>
      </c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/>
      <c r="BA50" s="163" t="s">
        <v>11</v>
      </c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</row>
    <row r="51" customFormat="false" ht="17.1" hidden="false" customHeight="true" outlineLevel="0" collapsed="false">
      <c r="A51" s="109" t="n">
        <f aca="true">+TODAY()</f>
        <v>46297</v>
      </c>
      <c r="B51" s="109"/>
      <c r="C51" s="109"/>
      <c r="D51" s="109"/>
      <c r="E51" s="109"/>
      <c r="F51" s="109"/>
      <c r="G51" s="109"/>
      <c r="H51" s="109"/>
      <c r="I51" s="164" t="n">
        <f aca="true">+NOW()</f>
        <v>46297.8549936901</v>
      </c>
      <c r="J51" s="164"/>
      <c r="K51" s="164"/>
      <c r="L51" s="164"/>
      <c r="M51" s="164"/>
      <c r="N51" s="164"/>
      <c r="O51" s="53" t="str">
        <f aca="false">+HC!O61</f>
        <v>FRANK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 t="str">
        <f aca="false">+HC!AH61</f>
        <v>MEDINA</v>
      </c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4" t="str">
        <f aca="false">+HC!AY61</f>
        <v>ALI</v>
      </c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</row>
    <row r="52" customFormat="false" ht="18" hidden="false" customHeight="true" outlineLevel="0" collapsed="false">
      <c r="A52" s="161" t="s">
        <v>147</v>
      </c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2" t="s">
        <v>148</v>
      </c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3" t="s">
        <v>149</v>
      </c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</row>
    <row r="53" customFormat="false" ht="39.95" hidden="false" customHeight="true" outlineLevel="0" collapsed="false">
      <c r="A53" s="165" t="n">
        <f aca="false">+HC!A63</f>
        <v>1756930234</v>
      </c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</row>
    <row r="54" customFormat="false" ht="14.1" hidden="false" customHeight="true" outlineLevel="0" collapsed="false">
      <c r="A54" s="138"/>
      <c r="B54" s="138"/>
      <c r="C54" s="138"/>
      <c r="D54" s="138"/>
      <c r="E54" s="166"/>
      <c r="F54" s="166"/>
      <c r="G54" s="166"/>
      <c r="H54" s="166"/>
      <c r="I54" s="166"/>
      <c r="J54" s="166"/>
      <c r="K54" s="138"/>
      <c r="L54" s="138"/>
      <c r="M54" s="138"/>
      <c r="N54" s="166"/>
      <c r="O54" s="166"/>
      <c r="P54" s="166"/>
      <c r="Q54" s="166"/>
      <c r="R54" s="166"/>
      <c r="S54" s="138"/>
      <c r="T54" s="138"/>
      <c r="U54" s="138"/>
      <c r="V54" s="138"/>
      <c r="W54" s="138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38"/>
      <c r="AP54" s="138"/>
      <c r="AQ54" s="138"/>
      <c r="AR54" s="138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38"/>
      <c r="BG54" s="138"/>
      <c r="BH54" s="138"/>
      <c r="BI54" s="138"/>
      <c r="BJ54" s="166"/>
      <c r="BK54" s="166"/>
      <c r="BL54" s="166"/>
      <c r="BM54" s="168"/>
      <c r="BN54" s="168"/>
      <c r="BO54" s="168"/>
    </row>
    <row r="55" customFormat="false" ht="18" hidden="false" customHeight="true" outlineLevel="0" collapsed="false">
      <c r="A55" s="169" t="s">
        <v>182</v>
      </c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70" t="s">
        <v>183</v>
      </c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</row>
    <row r="56" customFormat="false" ht="10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</row>
  </sheetData>
  <mergeCells count="138">
    <mergeCell ref="A1:BO1"/>
    <mergeCell ref="A2:M2"/>
    <mergeCell ref="N2:S2"/>
    <mergeCell ref="T2:AG2"/>
    <mergeCell ref="AH2:AY2"/>
    <mergeCell ref="AZ2:BJ2"/>
    <mergeCell ref="BK2:BO2"/>
    <mergeCell ref="A3:M3"/>
    <mergeCell ref="N3:S3"/>
    <mergeCell ref="T3:AG3"/>
    <mergeCell ref="AH3:AY3"/>
    <mergeCell ref="AZ3:BJ3"/>
    <mergeCell ref="BK3:BO3"/>
    <mergeCell ref="A4:Q5"/>
    <mergeCell ref="R4:AE5"/>
    <mergeCell ref="AF4:AO5"/>
    <mergeCell ref="AP4:AZ5"/>
    <mergeCell ref="BA4:BC5"/>
    <mergeCell ref="BD4:BG5"/>
    <mergeCell ref="BH4:BO4"/>
    <mergeCell ref="BH5:BI5"/>
    <mergeCell ref="BJ5:BK5"/>
    <mergeCell ref="BL5:BM5"/>
    <mergeCell ref="BN5:BO5"/>
    <mergeCell ref="A6:Q6"/>
    <mergeCell ref="R6:AE6"/>
    <mergeCell ref="AF6:AO6"/>
    <mergeCell ref="AP6:AZ6"/>
    <mergeCell ref="BA6:BC6"/>
    <mergeCell ref="BD6:BG6"/>
    <mergeCell ref="BH6:BI6"/>
    <mergeCell ref="BJ6:BK6"/>
    <mergeCell ref="BL6:BM6"/>
    <mergeCell ref="BN6:BO6"/>
    <mergeCell ref="A8:BO8"/>
    <mergeCell ref="A9:X9"/>
    <mergeCell ref="Y9:AQ9"/>
    <mergeCell ref="AR9:AW9"/>
    <mergeCell ref="AX9:BG9"/>
    <mergeCell ref="BH9:BO9"/>
    <mergeCell ref="A10:F10"/>
    <mergeCell ref="G10:H10"/>
    <mergeCell ref="I10:M10"/>
    <mergeCell ref="N10:O10"/>
    <mergeCell ref="P10:V10"/>
    <mergeCell ref="W10:X10"/>
    <mergeCell ref="Y10:AQ10"/>
    <mergeCell ref="AR10:AW10"/>
    <mergeCell ref="AX10:BG10"/>
    <mergeCell ref="BH10:BI10"/>
    <mergeCell ref="BJ10:BK10"/>
    <mergeCell ref="BL10:BM10"/>
    <mergeCell ref="BN10:BO10"/>
    <mergeCell ref="A11:N11"/>
    <mergeCell ref="O11:BO11"/>
    <mergeCell ref="A12:N12"/>
    <mergeCell ref="O12:BO12"/>
    <mergeCell ref="A13:BO13"/>
    <mergeCell ref="A14:BO14"/>
    <mergeCell ref="A16:Z16"/>
    <mergeCell ref="AA16:BO16"/>
    <mergeCell ref="A17:BO17"/>
    <mergeCell ref="A18:BO18"/>
    <mergeCell ref="A20:BO20"/>
    <mergeCell ref="A21:BO21"/>
    <mergeCell ref="A22:BO22"/>
    <mergeCell ref="A23:BO23"/>
    <mergeCell ref="A24:BO24"/>
    <mergeCell ref="A25:BO25"/>
    <mergeCell ref="A26:BO26"/>
    <mergeCell ref="A27:BO27"/>
    <mergeCell ref="A28:BO28"/>
    <mergeCell ref="A30:Q30"/>
    <mergeCell ref="R30:Z30"/>
    <mergeCell ref="AA30:AD30"/>
    <mergeCell ref="AE30:AF30"/>
    <mergeCell ref="AG30:AH30"/>
    <mergeCell ref="AI30:BG30"/>
    <mergeCell ref="BH30:BK30"/>
    <mergeCell ref="BL30:BM30"/>
    <mergeCell ref="BN30:BO30"/>
    <mergeCell ref="B31:Z31"/>
    <mergeCell ref="AA31:AD31"/>
    <mergeCell ref="AE31:AF31"/>
    <mergeCell ref="AG31:AH31"/>
    <mergeCell ref="AJ31:BG31"/>
    <mergeCell ref="BH31:BK31"/>
    <mergeCell ref="BL31:BM31"/>
    <mergeCell ref="BN31:BO31"/>
    <mergeCell ref="B32:Z32"/>
    <mergeCell ref="AA32:AD32"/>
    <mergeCell ref="AE32:AF32"/>
    <mergeCell ref="AG32:AH32"/>
    <mergeCell ref="AJ32:BG32"/>
    <mergeCell ref="BH32:BK32"/>
    <mergeCell ref="BL32:BM32"/>
    <mergeCell ref="BN32:BO32"/>
    <mergeCell ref="B33:Z33"/>
    <mergeCell ref="AA33:AD33"/>
    <mergeCell ref="AE33:AF33"/>
    <mergeCell ref="AG33:AH33"/>
    <mergeCell ref="AJ33:BG33"/>
    <mergeCell ref="BH33:BK33"/>
    <mergeCell ref="BL33:BM33"/>
    <mergeCell ref="BN33:BO33"/>
    <mergeCell ref="A35:BO35"/>
    <mergeCell ref="A36:BO36"/>
    <mergeCell ref="A37:BO37"/>
    <mergeCell ref="A38:BO38"/>
    <mergeCell ref="A39:BO39"/>
    <mergeCell ref="A40:BO40"/>
    <mergeCell ref="A41:BO41"/>
    <mergeCell ref="A42:BO42"/>
    <mergeCell ref="A43:BO43"/>
    <mergeCell ref="A44:BO44"/>
    <mergeCell ref="A45:BO45"/>
    <mergeCell ref="A46:BO46"/>
    <mergeCell ref="A47:BO47"/>
    <mergeCell ref="A49:BO49"/>
    <mergeCell ref="A50:H50"/>
    <mergeCell ref="I50:N50"/>
    <mergeCell ref="O50:AH50"/>
    <mergeCell ref="AI50:AZ50"/>
    <mergeCell ref="BA50:BO50"/>
    <mergeCell ref="A51:H51"/>
    <mergeCell ref="I51:N51"/>
    <mergeCell ref="O51:AH51"/>
    <mergeCell ref="AI51:AZ51"/>
    <mergeCell ref="BA51:BO51"/>
    <mergeCell ref="A52:N52"/>
    <mergeCell ref="O52:AM52"/>
    <mergeCell ref="AN52:BO52"/>
    <mergeCell ref="A53:N53"/>
    <mergeCell ref="O53:AM53"/>
    <mergeCell ref="AN53:BO53"/>
    <mergeCell ref="A55:AF55"/>
    <mergeCell ref="AG55:BO55"/>
    <mergeCell ref="A58:BO58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40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selection pane="topLeft" activeCell="AG6" activeCellId="0" sqref="AG6:AR6"/>
    </sheetView>
  </sheetViews>
  <sheetFormatPr defaultColWidth="1.70703125" defaultRowHeight="14.25" customHeight="true" zeroHeight="false" outlineLevelRow="0" outlineLevelCol="0"/>
  <cols>
    <col collapsed="false" customWidth="true" hidden="false" outlineLevel="0" max="1" min="1" style="172" width="3.56"/>
    <col collapsed="false" customWidth="true" hidden="false" outlineLevel="0" max="17" min="2" style="172" width="2.42"/>
    <col collapsed="false" customWidth="true" hidden="false" outlineLevel="0" max="20" min="18" style="172" width="1.85"/>
    <col collapsed="false" customWidth="true" hidden="false" outlineLevel="0" max="24" min="21" style="172" width="2.13"/>
    <col collapsed="false" customWidth="true" hidden="false" outlineLevel="0" max="35" min="25" style="172" width="1.85"/>
    <col collapsed="false" customWidth="true" hidden="false" outlineLevel="0" max="36" min="36" style="172" width="4.14"/>
    <col collapsed="false" customWidth="true" hidden="false" outlineLevel="0" max="37" min="37" style="172" width="3.14"/>
    <col collapsed="false" customWidth="true" hidden="false" outlineLevel="0" max="38" min="38" style="172" width="4.7"/>
    <col collapsed="false" customWidth="false" hidden="false" outlineLevel="0" max="39" min="39" style="172" width="1.7"/>
    <col collapsed="false" customWidth="true" hidden="false" outlineLevel="0" max="40" min="40" style="172" width="3.28"/>
    <col collapsed="false" customWidth="false" hidden="false" outlineLevel="0" max="42" min="41" style="172" width="1.7"/>
    <col collapsed="false" customWidth="true" hidden="false" outlineLevel="0" max="45" min="43" style="172" width="2.56"/>
    <col collapsed="false" customWidth="false" hidden="false" outlineLevel="0" max="71" min="46" style="172" width="1.7"/>
    <col collapsed="false" customWidth="true" hidden="false" outlineLevel="0" max="72" min="72" style="172" width="3.28"/>
    <col collapsed="false" customWidth="true" hidden="false" outlineLevel="0" max="73" min="73" style="172" width="2.13"/>
    <col collapsed="false" customWidth="true" hidden="false" outlineLevel="0" max="74" min="74" style="172" width="3.28"/>
    <col collapsed="false" customWidth="true" hidden="false" outlineLevel="0" max="75" min="75" style="172" width="1.99"/>
    <col collapsed="false" customWidth="true" hidden="false" outlineLevel="0" max="76" min="76" style="172" width="3.85"/>
    <col collapsed="false" customWidth="false" hidden="false" outlineLevel="0" max="78" min="77" style="172" width="1.7"/>
    <col collapsed="false" customWidth="true" hidden="false" outlineLevel="0" max="79" min="79" style="172" width="5.13"/>
    <col collapsed="false" customWidth="false" hidden="false" outlineLevel="0" max="257" min="80" style="172" width="1.7"/>
  </cols>
  <sheetData>
    <row r="1" customFormat="false" ht="16.5" hidden="false" customHeight="true" outlineLevel="0" collapsed="false">
      <c r="A1" s="173" t="s">
        <v>184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</row>
    <row r="2" customFormat="false" ht="20.1" hidden="false" customHeight="true" outlineLevel="0" collapsed="false">
      <c r="A2" s="174" t="s">
        <v>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5" t="s">
        <v>2</v>
      </c>
      <c r="T2" s="175"/>
      <c r="U2" s="175"/>
      <c r="V2" s="175"/>
      <c r="W2" s="175"/>
      <c r="X2" s="175"/>
      <c r="Y2" s="175" t="s">
        <v>3</v>
      </c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 t="s">
        <v>185</v>
      </c>
      <c r="AP2" s="175"/>
      <c r="AQ2" s="175"/>
      <c r="AR2" s="175"/>
      <c r="AS2" s="175"/>
      <c r="AT2" s="175"/>
      <c r="AU2" s="175" t="s">
        <v>4</v>
      </c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175"/>
      <c r="BM2" s="176" t="s">
        <v>152</v>
      </c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</row>
    <row r="3" customFormat="false" ht="15" hidden="false" customHeight="true" outlineLevel="0" collapsed="false">
      <c r="A3" s="177" t="str">
        <f aca="false">(HC!A3)</f>
        <v>RPC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8" t="n">
        <v>56398</v>
      </c>
      <c r="T3" s="178"/>
      <c r="U3" s="178"/>
      <c r="V3" s="178"/>
      <c r="W3" s="178"/>
      <c r="X3" s="178"/>
      <c r="Y3" s="179" t="str">
        <f aca="false">+HC!T3</f>
        <v>MEDISUPORT / QMC</v>
      </c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 t="s">
        <v>186</v>
      </c>
      <c r="AP3" s="179"/>
      <c r="AQ3" s="179"/>
      <c r="AR3" s="179"/>
      <c r="AS3" s="179"/>
      <c r="AT3" s="179"/>
      <c r="AU3" s="180" t="str">
        <f aca="false">+HC!AH3</f>
        <v>1704289899</v>
      </c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1" t="str">
        <f aca="false">+AU3</f>
        <v>1704289899</v>
      </c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</row>
    <row r="4" customFormat="false" ht="18" hidden="false" customHeight="true" outlineLevel="0" collapsed="false">
      <c r="A4" s="174" t="s">
        <v>10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5" t="s">
        <v>11</v>
      </c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 t="s">
        <v>12</v>
      </c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 t="s">
        <v>13</v>
      </c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 t="s">
        <v>14</v>
      </c>
      <c r="BG4" s="175"/>
      <c r="BH4" s="175"/>
      <c r="BI4" s="175" t="s">
        <v>187</v>
      </c>
      <c r="BJ4" s="175"/>
      <c r="BK4" s="175"/>
      <c r="BL4" s="175"/>
      <c r="BM4" s="175"/>
      <c r="BN4" s="175"/>
      <c r="BO4" s="175"/>
      <c r="BP4" s="175" t="s">
        <v>153</v>
      </c>
      <c r="BQ4" s="175"/>
      <c r="BR4" s="175"/>
      <c r="BS4" s="175"/>
      <c r="BT4" s="182" t="s">
        <v>154</v>
      </c>
      <c r="BU4" s="182"/>
      <c r="BV4" s="182"/>
      <c r="BW4" s="182"/>
      <c r="BX4" s="182"/>
      <c r="BY4" s="182"/>
      <c r="BZ4" s="182"/>
      <c r="CA4" s="182"/>
    </row>
    <row r="5" customFormat="false" ht="12.75" hidden="false" customHeight="true" outlineLevel="0" collapsed="false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5"/>
      <c r="BL5" s="175"/>
      <c r="BM5" s="175"/>
      <c r="BN5" s="175"/>
      <c r="BO5" s="175"/>
      <c r="BP5" s="175"/>
      <c r="BQ5" s="175"/>
      <c r="BR5" s="175"/>
      <c r="BS5" s="175"/>
      <c r="BT5" s="175" t="s">
        <v>155</v>
      </c>
      <c r="BU5" s="175"/>
      <c r="BV5" s="175" t="s">
        <v>156</v>
      </c>
      <c r="BW5" s="175"/>
      <c r="BX5" s="175" t="s">
        <v>157</v>
      </c>
      <c r="BY5" s="175"/>
      <c r="BZ5" s="182" t="s">
        <v>158</v>
      </c>
      <c r="CA5" s="182"/>
    </row>
    <row r="6" customFormat="false" ht="15" hidden="false" customHeight="true" outlineLevel="0" collapsed="false">
      <c r="A6" s="183" t="str">
        <f aca="false">(HC!A5)</f>
        <v>AMENDAÑO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4" t="str">
        <f aca="false">(HC!O5)</f>
        <v>COLLAGUAZO</v>
      </c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5" t="str">
        <f aca="false">(HC!AC5)</f>
        <v>LUZ</v>
      </c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 t="str">
        <f aca="false">(HC!AQ5)</f>
        <v>EDELINA</v>
      </c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 t="str">
        <f aca="false">(HC!BE5)</f>
        <v>F</v>
      </c>
      <c r="BG6" s="185"/>
      <c r="BH6" s="185"/>
      <c r="BI6" s="186" t="n">
        <f aca="false">SUM(HC!AZ3:BI3)</f>
        <v>20346</v>
      </c>
      <c r="BJ6" s="186"/>
      <c r="BK6" s="186"/>
      <c r="BL6" s="186"/>
      <c r="BM6" s="186"/>
      <c r="BN6" s="186"/>
      <c r="BO6" s="186"/>
      <c r="BP6" s="185" t="n">
        <f aca="false">SUM(HC!BI5:BL5)</f>
        <v>71</v>
      </c>
      <c r="BQ6" s="185"/>
      <c r="BR6" s="185"/>
      <c r="BS6" s="185"/>
      <c r="BT6" s="185"/>
      <c r="BU6" s="185"/>
      <c r="BV6" s="185"/>
      <c r="BW6" s="185"/>
      <c r="BX6" s="185"/>
      <c r="BY6" s="185"/>
      <c r="BZ6" s="187" t="s">
        <v>44</v>
      </c>
      <c r="CA6" s="187"/>
    </row>
    <row r="7" customFormat="false" ht="18" hidden="false" customHeight="true" outlineLevel="0" collapsed="false">
      <c r="A7" s="174" t="s">
        <v>188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88"/>
      <c r="AK7" s="189"/>
      <c r="AL7" s="189"/>
      <c r="AM7" s="189"/>
      <c r="AN7" s="190" t="s">
        <v>189</v>
      </c>
      <c r="AO7" s="190"/>
      <c r="AP7" s="190"/>
      <c r="AQ7" s="190"/>
      <c r="AR7" s="190"/>
      <c r="AS7" s="190"/>
      <c r="AT7" s="190"/>
      <c r="AU7" s="191" t="s">
        <v>44</v>
      </c>
      <c r="AV7" s="191"/>
      <c r="AW7" s="192"/>
      <c r="AX7" s="192"/>
      <c r="AY7" s="192"/>
      <c r="AZ7" s="192"/>
      <c r="BA7" s="190" t="s">
        <v>190</v>
      </c>
      <c r="BB7" s="190"/>
      <c r="BC7" s="190"/>
      <c r="BD7" s="190"/>
      <c r="BE7" s="190"/>
      <c r="BF7" s="190"/>
      <c r="BG7" s="190"/>
      <c r="BH7" s="191"/>
      <c r="BI7" s="191"/>
      <c r="BJ7" s="193"/>
      <c r="BK7" s="189"/>
      <c r="BL7" s="193"/>
      <c r="BM7" s="193"/>
      <c r="BN7" s="194"/>
      <c r="BO7" s="194"/>
      <c r="BP7" s="194"/>
      <c r="BQ7" s="194"/>
      <c r="BR7" s="194"/>
      <c r="BS7" s="194"/>
      <c r="BT7" s="194"/>
      <c r="BU7" s="194"/>
      <c r="BV7" s="194"/>
      <c r="BW7" s="194"/>
      <c r="BX7" s="189"/>
      <c r="BY7" s="189"/>
      <c r="BZ7" s="189"/>
      <c r="CA7" s="195"/>
    </row>
    <row r="8" customFormat="false" ht="15.75" hidden="false" customHeight="true" outlineLevel="0" collapsed="false">
      <c r="A8" s="196" t="str">
        <f aca="false">(HC!A8)</f>
        <v>0994085197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7" t="s">
        <v>191</v>
      </c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7"/>
      <c r="BN8" s="197"/>
      <c r="BO8" s="197"/>
      <c r="BP8" s="197"/>
      <c r="BQ8" s="197"/>
      <c r="BR8" s="197"/>
      <c r="BS8" s="197"/>
      <c r="BT8" s="197"/>
      <c r="BU8" s="197"/>
      <c r="BV8" s="197"/>
      <c r="BW8" s="197"/>
      <c r="BX8" s="197"/>
      <c r="BY8" s="197"/>
      <c r="BZ8" s="197"/>
      <c r="CA8" s="197"/>
    </row>
    <row r="9" customFormat="false" ht="11.25" hidden="false" customHeight="true" outlineLevel="0" collapsed="false">
      <c r="A9" s="196"/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8" t="s">
        <v>192</v>
      </c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3"/>
      <c r="BA9" s="199"/>
      <c r="BB9" s="199"/>
      <c r="BC9" s="188"/>
      <c r="BD9" s="200" t="s">
        <v>193</v>
      </c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198"/>
      <c r="BY9" s="199"/>
      <c r="BZ9" s="199"/>
      <c r="CA9" s="201"/>
    </row>
    <row r="10" customFormat="false" ht="11.25" hidden="false" customHeight="true" outlineLevel="0" collapsed="false">
      <c r="A10" s="174" t="s">
        <v>194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98" t="s">
        <v>195</v>
      </c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3"/>
      <c r="BA10" s="199"/>
      <c r="BB10" s="199"/>
      <c r="BC10" s="188"/>
      <c r="BD10" s="200" t="s">
        <v>196</v>
      </c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00"/>
      <c r="BU10" s="200"/>
      <c r="BV10" s="200"/>
      <c r="BW10" s="200"/>
      <c r="BX10" s="198"/>
      <c r="BY10" s="199"/>
      <c r="BZ10" s="199"/>
      <c r="CA10" s="201"/>
    </row>
    <row r="11" customFormat="false" ht="11.25" hidden="false" customHeight="true" outlineLevel="0" collapsed="false">
      <c r="A11" s="202" t="s">
        <v>23</v>
      </c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3" t="s">
        <v>197</v>
      </c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 t="s">
        <v>25</v>
      </c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198" t="s">
        <v>198</v>
      </c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8"/>
      <c r="AZ11" s="193"/>
      <c r="BA11" s="199"/>
      <c r="BB11" s="199"/>
      <c r="BC11" s="188"/>
      <c r="BD11" s="200" t="s">
        <v>199</v>
      </c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198"/>
      <c r="BY11" s="199" t="s">
        <v>44</v>
      </c>
      <c r="BZ11" s="199"/>
      <c r="CA11" s="201"/>
    </row>
    <row r="12" customFormat="false" ht="11.25" hidden="false" customHeight="true" outlineLevel="0" collapsed="false">
      <c r="A12" s="204" t="str">
        <f aca="false">(HC!O8)</f>
        <v>PICHINCHA</v>
      </c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5" t="str">
        <f aca="false">(HC!AH8)</f>
        <v>QUITO</v>
      </c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 t="n">
        <f aca="false">(HC!BA8)</f>
        <v>0</v>
      </c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198" t="s">
        <v>200</v>
      </c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3"/>
      <c r="BA12" s="199"/>
      <c r="BB12" s="199"/>
      <c r="BC12" s="188"/>
      <c r="BD12" s="206" t="s">
        <v>201</v>
      </c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198"/>
      <c r="BY12" s="199"/>
      <c r="BZ12" s="199"/>
      <c r="CA12" s="201"/>
    </row>
    <row r="13" customFormat="false" ht="12" hidden="false" customHeight="true" outlineLevel="0" collapsed="false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7" t="s">
        <v>202</v>
      </c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8"/>
      <c r="BA13" s="209"/>
      <c r="BB13" s="209"/>
      <c r="BC13" s="210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7"/>
      <c r="BY13" s="211"/>
      <c r="BZ13" s="211"/>
      <c r="CA13" s="212"/>
    </row>
    <row r="14" customFormat="false" ht="9.95" hidden="false" customHeight="true" outlineLevel="0" collapsed="false"/>
    <row r="15" customFormat="false" ht="16.5" hidden="false" customHeight="true" outlineLevel="0" collapsed="false">
      <c r="A15" s="173" t="s">
        <v>203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3"/>
      <c r="BT15" s="173"/>
      <c r="BU15" s="173"/>
      <c r="BV15" s="173"/>
      <c r="BW15" s="173"/>
      <c r="BX15" s="173"/>
      <c r="BY15" s="173"/>
      <c r="BZ15" s="173"/>
      <c r="CA15" s="173"/>
    </row>
    <row r="16" customFormat="false" ht="15" hidden="false" customHeight="true" outlineLevel="0" collapsed="false">
      <c r="A16" s="174" t="s">
        <v>1</v>
      </c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5" t="s">
        <v>3</v>
      </c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 t="s">
        <v>160</v>
      </c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82" t="s">
        <v>161</v>
      </c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</row>
    <row r="17" customFormat="false" ht="15" hidden="false" customHeight="true" outlineLevel="0" collapsed="false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5" t="s">
        <v>166</v>
      </c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6"/>
      <c r="BG17" s="216"/>
      <c r="BH17" s="216"/>
      <c r="BI17" s="216"/>
      <c r="BJ17" s="216"/>
      <c r="BK17" s="216"/>
      <c r="BL17" s="216"/>
      <c r="BM17" s="216"/>
      <c r="BN17" s="216"/>
      <c r="BO17" s="216"/>
      <c r="BP17" s="216"/>
      <c r="BQ17" s="216"/>
      <c r="BR17" s="216"/>
      <c r="BS17" s="216"/>
      <c r="BT17" s="216"/>
      <c r="BU17" s="216"/>
      <c r="BV17" s="216"/>
      <c r="BW17" s="216"/>
      <c r="BX17" s="216"/>
      <c r="BY17" s="216"/>
      <c r="BZ17" s="216"/>
      <c r="CA17" s="216"/>
    </row>
    <row r="18" customFormat="false" ht="9.95" hidden="false" customHeight="true" outlineLevel="0" collapsed="false"/>
    <row r="19" customFormat="false" ht="16.5" hidden="false" customHeight="true" outlineLevel="0" collapsed="false">
      <c r="A19" s="173" t="s">
        <v>204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</row>
    <row r="20" customFormat="false" ht="102" hidden="false" customHeight="true" outlineLevel="0" collapsed="false">
      <c r="A20" s="217" t="n">
        <f aca="false">+HC!A24:BL24</f>
        <v>0</v>
      </c>
      <c r="B20" s="217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7"/>
      <c r="BW20" s="217"/>
      <c r="BX20" s="217"/>
      <c r="BY20" s="217"/>
      <c r="BZ20" s="217"/>
      <c r="CA20" s="217"/>
    </row>
    <row r="21" customFormat="false" ht="15" hidden="false" customHeight="true" outlineLevel="0" collapsed="false">
      <c r="A21" s="218"/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  <c r="BU21" s="218"/>
      <c r="BV21" s="218"/>
      <c r="BW21" s="218"/>
      <c r="BX21" s="218"/>
      <c r="BY21" s="218"/>
      <c r="BZ21" s="218"/>
      <c r="CA21" s="218"/>
    </row>
    <row r="22" customFormat="false" ht="9.95" hidden="false" customHeight="true" outlineLevel="0" collapsed="false"/>
    <row r="23" customFormat="false" ht="16.5" hidden="false" customHeight="true" outlineLevel="0" collapsed="false">
      <c r="A23" s="173" t="s">
        <v>205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3"/>
      <c r="BW23" s="173"/>
      <c r="BX23" s="173"/>
      <c r="BY23" s="173"/>
      <c r="BZ23" s="173"/>
      <c r="CA23" s="173"/>
    </row>
    <row r="24" customFormat="false" ht="14.25" hidden="false" customHeight="true" outlineLevel="0" collapsed="false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  <c r="BX24" s="219"/>
      <c r="BY24" s="219"/>
      <c r="BZ24" s="219"/>
      <c r="CA24" s="219"/>
    </row>
    <row r="25" customFormat="false" ht="14.25" hidden="false" customHeight="true" outlineLevel="0" collapsed="false">
      <c r="A25" s="21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  <c r="BX25" s="219"/>
      <c r="BY25" s="219"/>
      <c r="BZ25" s="219"/>
      <c r="CA25" s="219"/>
    </row>
    <row r="26" customFormat="false" ht="15" hidden="false" customHeight="true" outlineLevel="0" collapsed="false">
      <c r="A26" s="218"/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</row>
    <row r="27" customFormat="false" ht="9.95" hidden="false" customHeight="true" outlineLevel="0" collapsed="false"/>
    <row r="28" customFormat="false" ht="16.5" hidden="false" customHeight="true" outlineLevel="0" collapsed="false">
      <c r="A28" s="220" t="s">
        <v>176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1" t="s">
        <v>177</v>
      </c>
      <c r="V28" s="221"/>
      <c r="W28" s="221"/>
      <c r="X28" s="221"/>
      <c r="Y28" s="221"/>
      <c r="Z28" s="221"/>
      <c r="AA28" s="221"/>
      <c r="AB28" s="221"/>
      <c r="AC28" s="221"/>
      <c r="AD28" s="221"/>
      <c r="AE28" s="222" t="s">
        <v>129</v>
      </c>
      <c r="AF28" s="222"/>
      <c r="AG28" s="222"/>
      <c r="AH28" s="222"/>
      <c r="AI28" s="222"/>
      <c r="AJ28" s="223" t="s">
        <v>130</v>
      </c>
      <c r="AK28" s="223"/>
      <c r="AL28" s="223" t="s">
        <v>131</v>
      </c>
      <c r="AM28" s="223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/>
      <c r="AX28" s="224"/>
      <c r="AY28" s="224"/>
      <c r="AZ28" s="224"/>
      <c r="BA28" s="224"/>
      <c r="BB28" s="224"/>
      <c r="BC28" s="224"/>
      <c r="BD28" s="224"/>
      <c r="BE28" s="224"/>
      <c r="BF28" s="224"/>
      <c r="BG28" s="224"/>
      <c r="BH28" s="224"/>
      <c r="BI28" s="224"/>
      <c r="BJ28" s="224"/>
      <c r="BK28" s="224"/>
      <c r="BL28" s="224"/>
      <c r="BM28" s="224"/>
      <c r="BN28" s="224"/>
      <c r="BO28" s="224"/>
      <c r="BP28" s="224"/>
      <c r="BQ28" s="224"/>
      <c r="BR28" s="224"/>
      <c r="BS28" s="224"/>
      <c r="BT28" s="222" t="s">
        <v>129</v>
      </c>
      <c r="BU28" s="222"/>
      <c r="BV28" s="222"/>
      <c r="BW28" s="222"/>
      <c r="BX28" s="223" t="s">
        <v>130</v>
      </c>
      <c r="BY28" s="223"/>
      <c r="BZ28" s="225" t="s">
        <v>131</v>
      </c>
      <c r="CA28" s="225"/>
    </row>
    <row r="29" customFormat="false" ht="18" hidden="false" customHeight="true" outlineLevel="0" collapsed="false">
      <c r="A29" s="226" t="s">
        <v>132</v>
      </c>
      <c r="B29" s="227" t="str">
        <f aca="false">IF(HC!B47="","",HC!B47)</f>
        <v/>
      </c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8" t="str">
        <f aca="false">IF(HC!Y47="","",HC!Y47)</f>
        <v/>
      </c>
      <c r="AF29" s="228"/>
      <c r="AG29" s="228"/>
      <c r="AH29" s="228"/>
      <c r="AI29" s="228"/>
      <c r="AJ29" s="229" t="str">
        <f aca="false">IF(HC!AC47=0," ",HC!AC47)</f>
        <v> </v>
      </c>
      <c r="AK29" s="229"/>
      <c r="AL29" s="229" t="str">
        <f aca="false">IF(HC!AE47=0," ",HC!AE47)</f>
        <v> </v>
      </c>
      <c r="AM29" s="229"/>
      <c r="AN29" s="230" t="s">
        <v>133</v>
      </c>
      <c r="AO29" s="227" t="str">
        <f aca="false">+IF(HC!AH47="","",HC!AH47)</f>
        <v/>
      </c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8" t="str">
        <f aca="false">IF(HC!BE47="","",HC!BE47)</f>
        <v/>
      </c>
      <c r="BU29" s="228"/>
      <c r="BV29" s="228"/>
      <c r="BW29" s="228"/>
      <c r="BX29" s="128" t="str">
        <f aca="false">IF(HC!BI47=0," ",HC!BI47)</f>
        <v> </v>
      </c>
      <c r="BY29" s="128"/>
      <c r="BZ29" s="152" t="str">
        <f aca="false">IF(HC!BK47=0," ",HC!BK47)</f>
        <v> </v>
      </c>
      <c r="CA29" s="152"/>
    </row>
    <row r="30" customFormat="false" ht="18" hidden="false" customHeight="true" outlineLevel="0" collapsed="false">
      <c r="A30" s="226" t="s">
        <v>134</v>
      </c>
      <c r="B30" s="227" t="str">
        <f aca="false">IF(HC!B48="","",HC!B48)</f>
        <v/>
      </c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8" t="str">
        <f aca="false">IF(HC!Y48="","",HC!Y48)</f>
        <v/>
      </c>
      <c r="AF30" s="228"/>
      <c r="AG30" s="228"/>
      <c r="AH30" s="228"/>
      <c r="AI30" s="228"/>
      <c r="AJ30" s="229" t="str">
        <f aca="false">IF(HC!AC48=0," ",HC!AC48)</f>
        <v> </v>
      </c>
      <c r="AK30" s="229"/>
      <c r="AL30" s="229" t="str">
        <f aca="false">IF(HC!AE48=0," ",HC!AE48)</f>
        <v> </v>
      </c>
      <c r="AM30" s="229"/>
      <c r="AN30" s="230" t="s">
        <v>135</v>
      </c>
      <c r="AO30" s="227" t="str">
        <f aca="false">IF(HC!AH48="","",HC!AH48)</f>
        <v/>
      </c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227"/>
      <c r="BO30" s="227"/>
      <c r="BP30" s="227"/>
      <c r="BQ30" s="227"/>
      <c r="BR30" s="227"/>
      <c r="BS30" s="227"/>
      <c r="BT30" s="228" t="str">
        <f aca="false">IF(HC!BE48="","",HC!BE48)</f>
        <v/>
      </c>
      <c r="BU30" s="228"/>
      <c r="BV30" s="228"/>
      <c r="BW30" s="228"/>
      <c r="BX30" s="128" t="str">
        <f aca="false">IF(HC!BI48=0," ",HC!BI48)</f>
        <v> </v>
      </c>
      <c r="BY30" s="128"/>
      <c r="BZ30" s="152" t="str">
        <f aca="false">IF(HC!BK48=0," ",HC!BK48)</f>
        <v> </v>
      </c>
      <c r="CA30" s="152"/>
    </row>
    <row r="31" customFormat="false" ht="18.75" hidden="false" customHeight="true" outlineLevel="0" collapsed="false">
      <c r="A31" s="231" t="s">
        <v>136</v>
      </c>
      <c r="B31" s="232" t="str">
        <f aca="false">IF(HC!B49="","",HC!B49)</f>
        <v/>
      </c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3" t="str">
        <f aca="false">IF(HC!Y49="","",HC!Y49)</f>
        <v/>
      </c>
      <c r="AF31" s="233"/>
      <c r="AG31" s="233"/>
      <c r="AH31" s="233"/>
      <c r="AI31" s="233"/>
      <c r="AJ31" s="234" t="str">
        <f aca="false">IF(HC!AC49=0," ",HC!AC49)</f>
        <v> </v>
      </c>
      <c r="AK31" s="234"/>
      <c r="AL31" s="234" t="str">
        <f aca="false">IF(HC!AE49=0," ",HC!AE49)</f>
        <v> </v>
      </c>
      <c r="AM31" s="234"/>
      <c r="AN31" s="235" t="s">
        <v>137</v>
      </c>
      <c r="AO31" s="232" t="str">
        <f aca="false">IF(HC!AH49="","",HC!AH49)</f>
        <v/>
      </c>
      <c r="AP31" s="232"/>
      <c r="AQ31" s="232"/>
      <c r="AR31" s="232"/>
      <c r="AS31" s="232"/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2"/>
      <c r="BH31" s="232"/>
      <c r="BI31" s="232"/>
      <c r="BJ31" s="232"/>
      <c r="BK31" s="232"/>
      <c r="BL31" s="232"/>
      <c r="BM31" s="232"/>
      <c r="BN31" s="232"/>
      <c r="BO31" s="232"/>
      <c r="BP31" s="232"/>
      <c r="BQ31" s="232"/>
      <c r="BR31" s="232"/>
      <c r="BS31" s="232"/>
      <c r="BT31" s="233" t="str">
        <f aca="false">IF(HC!BE49="","",HC!BE49)</f>
        <v/>
      </c>
      <c r="BU31" s="233"/>
      <c r="BV31" s="233"/>
      <c r="BW31" s="233"/>
      <c r="BX31" s="155" t="str">
        <f aca="false">IF(HC!BI49=0," ",HC!BI49)</f>
        <v> </v>
      </c>
      <c r="BY31" s="155"/>
      <c r="BZ31" s="158" t="str">
        <f aca="false">IF(HC!BK49=0," ",HC!BK49)</f>
        <v> </v>
      </c>
      <c r="CA31" s="158"/>
    </row>
    <row r="32" customFormat="false" ht="9.95" hidden="false" customHeight="true" outlineLevel="0" collapsed="false">
      <c r="A32" s="236"/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7"/>
      <c r="BK32" s="237"/>
      <c r="BL32" s="237"/>
      <c r="BM32" s="237"/>
      <c r="BN32" s="237"/>
      <c r="BO32" s="237"/>
      <c r="BP32" s="237"/>
      <c r="BQ32" s="237"/>
      <c r="BR32" s="237"/>
      <c r="BS32" s="237"/>
      <c r="BT32" s="237"/>
      <c r="BU32" s="237"/>
      <c r="BV32" s="237"/>
      <c r="BW32" s="237"/>
      <c r="BX32" s="237"/>
      <c r="BY32" s="237"/>
      <c r="BZ32" s="237"/>
      <c r="CA32" s="238"/>
    </row>
    <row r="33" customFormat="false" ht="16.5" hidden="false" customHeight="true" outlineLevel="0" collapsed="false">
      <c r="A33" s="239" t="s">
        <v>206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39"/>
      <c r="BK33" s="239"/>
      <c r="BL33" s="239"/>
      <c r="BM33" s="239"/>
      <c r="BN33" s="239"/>
      <c r="BO33" s="239"/>
      <c r="BP33" s="239"/>
      <c r="BQ33" s="239"/>
      <c r="BR33" s="239"/>
      <c r="BS33" s="239"/>
      <c r="BT33" s="239"/>
      <c r="BU33" s="239"/>
      <c r="BV33" s="239"/>
      <c r="BW33" s="239"/>
      <c r="BX33" s="239"/>
      <c r="BY33" s="239"/>
      <c r="BZ33" s="239"/>
      <c r="CA33" s="239"/>
    </row>
    <row r="34" customFormat="false" ht="21" hidden="false" customHeight="true" outlineLevel="0" collapsed="false">
      <c r="A34" s="161" t="s">
        <v>180</v>
      </c>
      <c r="B34" s="161"/>
      <c r="C34" s="161"/>
      <c r="D34" s="161"/>
      <c r="E34" s="161"/>
      <c r="F34" s="161"/>
      <c r="G34" s="161"/>
      <c r="H34" s="161"/>
      <c r="I34" s="161"/>
      <c r="J34" s="161"/>
      <c r="K34" s="162" t="s">
        <v>181</v>
      </c>
      <c r="L34" s="162"/>
      <c r="M34" s="162"/>
      <c r="N34" s="162"/>
      <c r="O34" s="162"/>
      <c r="P34" s="162"/>
      <c r="Q34" s="162"/>
      <c r="R34" s="162"/>
      <c r="S34" s="162" t="s">
        <v>12</v>
      </c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 t="s">
        <v>10</v>
      </c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2"/>
      <c r="BJ34" s="163" t="s">
        <v>11</v>
      </c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</row>
    <row r="35" customFormat="false" ht="16.5" hidden="false" customHeight="true" outlineLevel="0" collapsed="false">
      <c r="A35" s="109" t="n">
        <f aca="true">+TODAY()</f>
        <v>46297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64" t="n">
        <f aca="true">+NOW()</f>
        <v>46297.8549937446</v>
      </c>
      <c r="L35" s="164"/>
      <c r="M35" s="164"/>
      <c r="N35" s="164"/>
      <c r="O35" s="164"/>
      <c r="P35" s="164"/>
      <c r="Q35" s="164"/>
      <c r="R35" s="164"/>
      <c r="S35" s="53" t="str">
        <f aca="false">+HC!O61</f>
        <v>FRANK</v>
      </c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 t="str">
        <f aca="false">+HC!AH61</f>
        <v>MEDINA</v>
      </c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4" t="str">
        <f aca="false">+HC!AY61</f>
        <v>ALI</v>
      </c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</row>
    <row r="36" customFormat="false" ht="21" hidden="false" customHeight="true" outlineLevel="0" collapsed="false">
      <c r="A36" s="161" t="s">
        <v>147</v>
      </c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2" t="s">
        <v>148</v>
      </c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3" t="s">
        <v>149</v>
      </c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</row>
    <row r="37" customFormat="false" ht="28.5" hidden="false" customHeight="true" outlineLevel="0" collapsed="false">
      <c r="A37" s="165" t="n">
        <f aca="false">+HC!A63</f>
        <v>1756930234</v>
      </c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</row>
    <row r="38" customFormat="false" ht="9.95" hidden="false" customHeight="tru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</row>
    <row r="40" customFormat="false" ht="15.75" hidden="false" customHeight="true" outlineLevel="0" collapsed="false">
      <c r="A40" s="240" t="s">
        <v>207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1" t="s">
        <v>208</v>
      </c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  <c r="BX40" s="241"/>
      <c r="BY40" s="241"/>
      <c r="BZ40" s="241"/>
      <c r="CA40" s="241"/>
    </row>
  </sheetData>
  <mergeCells count="137">
    <mergeCell ref="A1:CA1"/>
    <mergeCell ref="A2:R2"/>
    <mergeCell ref="S2:X2"/>
    <mergeCell ref="Y2:AN2"/>
    <mergeCell ref="AO2:AT2"/>
    <mergeCell ref="AU2:BL2"/>
    <mergeCell ref="BM2:CA2"/>
    <mergeCell ref="A3:R3"/>
    <mergeCell ref="S3:X3"/>
    <mergeCell ref="Y3:AN3"/>
    <mergeCell ref="AO3:AT3"/>
    <mergeCell ref="AU3:BL3"/>
    <mergeCell ref="BM3:CA3"/>
    <mergeCell ref="A4:Q5"/>
    <mergeCell ref="R4:AF5"/>
    <mergeCell ref="AG4:AR5"/>
    <mergeCell ref="AS4:BE5"/>
    <mergeCell ref="BF4:BH5"/>
    <mergeCell ref="BI4:BO5"/>
    <mergeCell ref="BP4:BS5"/>
    <mergeCell ref="BT4:CA4"/>
    <mergeCell ref="BT5:BU5"/>
    <mergeCell ref="BV5:BW5"/>
    <mergeCell ref="BX5:BY5"/>
    <mergeCell ref="BZ5:CA5"/>
    <mergeCell ref="A6:Q6"/>
    <mergeCell ref="R6:AF6"/>
    <mergeCell ref="AG6:AR6"/>
    <mergeCell ref="AS6:BE6"/>
    <mergeCell ref="BF6:BH6"/>
    <mergeCell ref="BI6:BO6"/>
    <mergeCell ref="BP6:BS6"/>
    <mergeCell ref="BT6:BU6"/>
    <mergeCell ref="BV6:BW6"/>
    <mergeCell ref="BX6:BY6"/>
    <mergeCell ref="BZ6:CA6"/>
    <mergeCell ref="A7:AI7"/>
    <mergeCell ref="AN7:AT7"/>
    <mergeCell ref="AU7:AV7"/>
    <mergeCell ref="BA7:BG7"/>
    <mergeCell ref="BH7:BI7"/>
    <mergeCell ref="A8:AI9"/>
    <mergeCell ref="AJ8:CA8"/>
    <mergeCell ref="AJ9:AY9"/>
    <mergeCell ref="BA9:BB9"/>
    <mergeCell ref="BD9:BW9"/>
    <mergeCell ref="BY9:BZ9"/>
    <mergeCell ref="A10:AI10"/>
    <mergeCell ref="AJ10:AY10"/>
    <mergeCell ref="BA10:BB10"/>
    <mergeCell ref="BD10:BW10"/>
    <mergeCell ref="BY10:BZ10"/>
    <mergeCell ref="A11:L11"/>
    <mergeCell ref="M11:W11"/>
    <mergeCell ref="X11:AI11"/>
    <mergeCell ref="AJ11:AY11"/>
    <mergeCell ref="BA11:BB11"/>
    <mergeCell ref="BD11:BW11"/>
    <mergeCell ref="BY11:BZ11"/>
    <mergeCell ref="A12:L13"/>
    <mergeCell ref="M12:W13"/>
    <mergeCell ref="X12:AI13"/>
    <mergeCell ref="AJ12:AY12"/>
    <mergeCell ref="BA12:BB12"/>
    <mergeCell ref="BD12:BW13"/>
    <mergeCell ref="BY12:BZ12"/>
    <mergeCell ref="AJ13:AY13"/>
    <mergeCell ref="BA13:BB13"/>
    <mergeCell ref="BY13:BZ13"/>
    <mergeCell ref="A15:CA15"/>
    <mergeCell ref="A16:R16"/>
    <mergeCell ref="S16:AL16"/>
    <mergeCell ref="AM16:BE16"/>
    <mergeCell ref="BF16:CA16"/>
    <mergeCell ref="A17:R17"/>
    <mergeCell ref="S17:AL17"/>
    <mergeCell ref="AM17:BE17"/>
    <mergeCell ref="BF17:CA17"/>
    <mergeCell ref="A19:CA19"/>
    <mergeCell ref="A20:CA20"/>
    <mergeCell ref="A21:CA21"/>
    <mergeCell ref="A23:CA23"/>
    <mergeCell ref="A24:CA24"/>
    <mergeCell ref="A25:CA25"/>
    <mergeCell ref="A26:CA26"/>
    <mergeCell ref="A28:T28"/>
    <mergeCell ref="U28:AD28"/>
    <mergeCell ref="AE28:AI28"/>
    <mergeCell ref="AJ28:AK28"/>
    <mergeCell ref="AL28:AM28"/>
    <mergeCell ref="AN28:BS28"/>
    <mergeCell ref="BT28:BW28"/>
    <mergeCell ref="BX28:BY28"/>
    <mergeCell ref="BZ28:CA28"/>
    <mergeCell ref="B29:AD29"/>
    <mergeCell ref="AE29:AI29"/>
    <mergeCell ref="AJ29:AK29"/>
    <mergeCell ref="AL29:AM29"/>
    <mergeCell ref="AO29:BS29"/>
    <mergeCell ref="BT29:BW29"/>
    <mergeCell ref="BX29:BY29"/>
    <mergeCell ref="BZ29:CA29"/>
    <mergeCell ref="B30:AD30"/>
    <mergeCell ref="AE30:AI30"/>
    <mergeCell ref="AJ30:AK30"/>
    <mergeCell ref="AL30:AM30"/>
    <mergeCell ref="AO30:BS30"/>
    <mergeCell ref="BT30:BW30"/>
    <mergeCell ref="BX30:BY30"/>
    <mergeCell ref="BZ30:CA30"/>
    <mergeCell ref="B31:AD31"/>
    <mergeCell ref="AE31:AI31"/>
    <mergeCell ref="AJ31:AK31"/>
    <mergeCell ref="AL31:AM31"/>
    <mergeCell ref="AO31:BS31"/>
    <mergeCell ref="BT31:BW31"/>
    <mergeCell ref="BX31:BY31"/>
    <mergeCell ref="BZ31:CA31"/>
    <mergeCell ref="A33:CA33"/>
    <mergeCell ref="A34:J34"/>
    <mergeCell ref="K34:R34"/>
    <mergeCell ref="S34:AN34"/>
    <mergeCell ref="AO34:BI34"/>
    <mergeCell ref="BJ34:CA34"/>
    <mergeCell ref="A35:J35"/>
    <mergeCell ref="K35:R35"/>
    <mergeCell ref="S35:AN35"/>
    <mergeCell ref="AO35:BI35"/>
    <mergeCell ref="BJ35:CA35"/>
    <mergeCell ref="A36:R36"/>
    <mergeCell ref="S36:AS36"/>
    <mergeCell ref="AT36:CA36"/>
    <mergeCell ref="A37:R37"/>
    <mergeCell ref="S37:AS37"/>
    <mergeCell ref="AT37:CA37"/>
    <mergeCell ref="A40:AB40"/>
    <mergeCell ref="AC40:CA4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93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AG10" activeCellId="0" sqref="AG10:AJ1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11" min="1" style="112" width="2.7"/>
    <col collapsed="false" customWidth="true" hidden="false" outlineLevel="0" max="12" min="12" style="112" width="3.85"/>
    <col collapsed="false" customWidth="true" hidden="false" outlineLevel="0" max="13" min="13" style="112" width="2.28"/>
    <col collapsed="false" customWidth="true" hidden="false" outlineLevel="0" max="22" min="14" style="112" width="1.7"/>
    <col collapsed="false" customWidth="true" hidden="false" outlineLevel="0" max="23" min="23" style="112" width="2.56"/>
    <col collapsed="false" customWidth="true" hidden="false" outlineLevel="0" max="24" min="24" style="112" width="3.28"/>
    <col collapsed="false" customWidth="true" hidden="false" outlineLevel="0" max="25" min="25" style="112" width="2.99"/>
    <col collapsed="false" customWidth="true" hidden="false" outlineLevel="0" max="26" min="26" style="112" width="2.56"/>
    <col collapsed="false" customWidth="true" hidden="false" outlineLevel="0" max="34" min="27" style="112" width="1.7"/>
    <col collapsed="false" customWidth="true" hidden="false" outlineLevel="0" max="35" min="35" style="112" width="4.85"/>
    <col collapsed="false" customWidth="true" hidden="false" outlineLevel="0" max="42" min="36" style="112" width="1.7"/>
    <col collapsed="false" customWidth="true" hidden="false" outlineLevel="0" max="43" min="43" style="112" width="2.99"/>
    <col collapsed="false" customWidth="true" hidden="false" outlineLevel="0" max="44" min="44" style="112" width="1.7"/>
    <col collapsed="false" customWidth="true" hidden="false" outlineLevel="0" max="45" min="45" style="112" width="3.56"/>
    <col collapsed="false" customWidth="true" hidden="false" outlineLevel="0" max="48" min="46" style="112" width="1.7"/>
    <col collapsed="false" customWidth="true" hidden="false" outlineLevel="0" max="49" min="49" style="112" width="3.56"/>
    <col collapsed="false" customWidth="true" hidden="false" outlineLevel="0" max="52" min="50" style="112" width="1.7"/>
    <col collapsed="false" customWidth="true" hidden="false" outlineLevel="0" max="53" min="53" style="112" width="4.14"/>
    <col collapsed="false" customWidth="true" hidden="false" outlineLevel="0" max="59" min="54" style="112" width="1.7"/>
    <col collapsed="false" customWidth="true" hidden="false" outlineLevel="0" max="60" min="60" style="112" width="3.42"/>
    <col collapsed="false" customWidth="true" hidden="false" outlineLevel="0" max="61" min="61" style="112" width="1.7"/>
    <col collapsed="false" customWidth="true" hidden="false" outlineLevel="0" max="62" min="62" style="112" width="2.7"/>
    <col collapsed="false" customWidth="true" hidden="false" outlineLevel="0" max="63" min="63" style="112" width="2.28"/>
    <col collapsed="false" customWidth="true" hidden="false" outlineLevel="0" max="64" min="64" style="112" width="4.41"/>
    <col collapsed="false" customWidth="true" hidden="false" outlineLevel="0" max="71" min="65" style="112" width="1.7"/>
    <col collapsed="false" customWidth="true" hidden="false" outlineLevel="0" max="72" min="72" style="112" width="3.56"/>
    <col collapsed="false" customWidth="true" hidden="false" outlineLevel="0" max="73" min="73" style="112" width="1.7"/>
    <col collapsed="false" customWidth="true" hidden="false" outlineLevel="0" max="74" min="74" style="112" width="6.13"/>
  </cols>
  <sheetData>
    <row r="1" customFormat="false" ht="16.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customFormat="false" ht="20.25" hidden="false" customHeight="true" outlineLevel="0" collapsed="false">
      <c r="A2" s="113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7" t="s">
        <v>2</v>
      </c>
      <c r="S2" s="7"/>
      <c r="T2" s="7"/>
      <c r="U2" s="7"/>
      <c r="V2" s="7"/>
      <c r="W2" s="7"/>
      <c r="X2" s="6" t="s">
        <v>3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242" t="s">
        <v>4</v>
      </c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3" t="s">
        <v>152</v>
      </c>
      <c r="BM2" s="243"/>
      <c r="BN2" s="243"/>
      <c r="BO2" s="243"/>
      <c r="BP2" s="243"/>
      <c r="BQ2" s="243"/>
      <c r="BR2" s="243"/>
      <c r="BS2" s="243"/>
      <c r="BT2" s="243"/>
      <c r="BU2" s="243"/>
      <c r="BV2" s="243"/>
    </row>
    <row r="3" customFormat="false" ht="16.5" hidden="false" customHeight="true" outlineLevel="0" collapsed="false">
      <c r="A3" s="244" t="str">
        <f aca="false">(HC!A3)</f>
        <v>RPC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5" t="n">
        <v>56398</v>
      </c>
      <c r="S3" s="245"/>
      <c r="T3" s="245"/>
      <c r="U3" s="245"/>
      <c r="V3" s="245"/>
      <c r="W3" s="245"/>
      <c r="X3" s="246" t="str">
        <f aca="false">+HC!T3</f>
        <v>MEDISUPORT / QMC</v>
      </c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7" t="str">
        <f aca="false">+HC!AH3</f>
        <v>1704289899</v>
      </c>
      <c r="AU3" s="247"/>
      <c r="AV3" s="247"/>
      <c r="AW3" s="247"/>
      <c r="AX3" s="247"/>
      <c r="AY3" s="247"/>
      <c r="AZ3" s="247"/>
      <c r="BA3" s="247"/>
      <c r="BB3" s="247"/>
      <c r="BC3" s="247"/>
      <c r="BD3" s="247"/>
      <c r="BE3" s="247"/>
      <c r="BF3" s="247"/>
      <c r="BG3" s="247"/>
      <c r="BH3" s="247"/>
      <c r="BI3" s="247"/>
      <c r="BJ3" s="247"/>
      <c r="BK3" s="247"/>
      <c r="BL3" s="248" t="str">
        <f aca="false">+AT3</f>
        <v>1704289899</v>
      </c>
      <c r="BM3" s="248"/>
      <c r="BN3" s="248"/>
      <c r="BO3" s="248"/>
      <c r="BP3" s="248"/>
      <c r="BQ3" s="248"/>
      <c r="BR3" s="248"/>
      <c r="BS3" s="248"/>
      <c r="BT3" s="248"/>
      <c r="BU3" s="248"/>
      <c r="BV3" s="248"/>
    </row>
    <row r="4" customFormat="false" ht="15" hidden="false" customHeight="true" outlineLevel="0" collapsed="false">
      <c r="A4" s="113" t="s">
        <v>10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6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 t="s">
        <v>12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 t="s">
        <v>13</v>
      </c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 t="s">
        <v>14</v>
      </c>
      <c r="BD4" s="6"/>
      <c r="BE4" s="6"/>
      <c r="BF4" s="6" t="s">
        <v>187</v>
      </c>
      <c r="BG4" s="6"/>
      <c r="BH4" s="6"/>
      <c r="BI4" s="6"/>
      <c r="BJ4" s="6"/>
      <c r="BK4" s="6"/>
      <c r="BL4" s="6" t="s">
        <v>153</v>
      </c>
      <c r="BM4" s="6"/>
      <c r="BN4" s="6"/>
      <c r="BO4" s="119" t="s">
        <v>154</v>
      </c>
      <c r="BP4" s="119"/>
      <c r="BQ4" s="119"/>
      <c r="BR4" s="119"/>
      <c r="BS4" s="119"/>
      <c r="BT4" s="119"/>
      <c r="BU4" s="119"/>
      <c r="BV4" s="119"/>
    </row>
    <row r="5" customFormat="false" ht="12.75" hidden="false" customHeight="true" outlineLevel="0" collapsed="false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 t="s">
        <v>155</v>
      </c>
      <c r="BP5" s="6"/>
      <c r="BQ5" s="6" t="s">
        <v>156</v>
      </c>
      <c r="BR5" s="6"/>
      <c r="BS5" s="6" t="s">
        <v>157</v>
      </c>
      <c r="BT5" s="6"/>
      <c r="BU5" s="114" t="s">
        <v>158</v>
      </c>
      <c r="BV5" s="114"/>
    </row>
    <row r="6" customFormat="false" ht="13.5" hidden="false" customHeight="true" outlineLevel="0" collapsed="false">
      <c r="A6" s="249" t="str">
        <f aca="false">(HC!A5)</f>
        <v>AMENDAÑO</v>
      </c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50" t="str">
        <f aca="false">(HC!O5)</f>
        <v>COLLAGUAZO</v>
      </c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 t="str">
        <f aca="false">(HC!AC5)</f>
        <v>LUZ</v>
      </c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 t="str">
        <f aca="false">(HC!AQ5)</f>
        <v>EDELINA</v>
      </c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 t="str">
        <f aca="false">+HC!BE5</f>
        <v>F</v>
      </c>
      <c r="BD6" s="250"/>
      <c r="BE6" s="250"/>
      <c r="BF6" s="251" t="n">
        <f aca="false">SUM(REF053!BI6)</f>
        <v>20346</v>
      </c>
      <c r="BG6" s="251"/>
      <c r="BH6" s="251"/>
      <c r="BI6" s="251"/>
      <c r="BJ6" s="251"/>
      <c r="BK6" s="251"/>
      <c r="BL6" s="250" t="n">
        <f aca="false">SUM(HC!BI5:BL5)</f>
        <v>71</v>
      </c>
      <c r="BM6" s="250"/>
      <c r="BN6" s="250"/>
      <c r="BO6" s="252"/>
      <c r="BP6" s="252"/>
      <c r="BQ6" s="252"/>
      <c r="BR6" s="252"/>
      <c r="BS6" s="252"/>
      <c r="BT6" s="252"/>
      <c r="BU6" s="253" t="s">
        <v>44</v>
      </c>
      <c r="BV6" s="253"/>
    </row>
    <row r="7" customFormat="false" ht="8.25" hidden="false" customHeight="true" outlineLevel="0" collapsed="false">
      <c r="A7" s="254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5"/>
      <c r="BD7" s="255"/>
      <c r="BE7" s="255"/>
      <c r="BF7" s="255"/>
      <c r="BG7" s="255"/>
      <c r="BH7" s="255"/>
      <c r="BI7" s="255"/>
      <c r="BJ7" s="255"/>
      <c r="BK7" s="255"/>
      <c r="BL7" s="255"/>
      <c r="BM7" s="255"/>
      <c r="BN7" s="255"/>
      <c r="BO7" s="255"/>
      <c r="BP7" s="255"/>
      <c r="BQ7" s="255"/>
      <c r="BR7" s="255"/>
      <c r="BS7" s="255"/>
      <c r="BT7" s="255"/>
      <c r="BU7" s="255"/>
      <c r="BV7" s="256"/>
    </row>
    <row r="8" customFormat="false" ht="16.5" hidden="false" customHeight="true" outlineLevel="0" collapsed="false">
      <c r="A8" s="2" t="s">
        <v>209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 customFormat="false" ht="18" hidden="false" customHeight="true" outlineLevel="0" collapsed="false">
      <c r="A9" s="161" t="s">
        <v>210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2" t="s">
        <v>129</v>
      </c>
      <c r="AH9" s="162"/>
      <c r="AI9" s="162"/>
      <c r="AJ9" s="162"/>
      <c r="AK9" s="162" t="s">
        <v>160</v>
      </c>
      <c r="AL9" s="162"/>
      <c r="AM9" s="162"/>
      <c r="AN9" s="162"/>
      <c r="AO9" s="162"/>
      <c r="AP9" s="257" t="s">
        <v>165</v>
      </c>
      <c r="AQ9" s="257"/>
      <c r="AR9" s="257"/>
      <c r="AS9" s="257"/>
      <c r="AT9" s="257"/>
      <c r="AU9" s="257"/>
      <c r="AV9" s="257"/>
      <c r="AW9" s="258"/>
      <c r="AX9" s="258"/>
      <c r="AY9" s="162" t="s">
        <v>161</v>
      </c>
      <c r="AZ9" s="162"/>
      <c r="BA9" s="162"/>
      <c r="BB9" s="162"/>
      <c r="BC9" s="162"/>
      <c r="BD9" s="162"/>
      <c r="BE9" s="162"/>
      <c r="BF9" s="259" t="s">
        <v>168</v>
      </c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163" t="s">
        <v>211</v>
      </c>
      <c r="BR9" s="163"/>
      <c r="BS9" s="163"/>
      <c r="BT9" s="163"/>
      <c r="BU9" s="163"/>
      <c r="BV9" s="163"/>
    </row>
    <row r="10" customFormat="false" ht="18" hidden="false" customHeight="true" outlineLevel="0" collapsed="false">
      <c r="A10" s="260" t="s">
        <v>132</v>
      </c>
      <c r="B10" s="261" t="str">
        <f aca="false">IF(HC!B47=0," ",HC!B47)</f>
        <v> 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2" t="str">
        <f aca="false">IF(HC!Y47=0," ",HC!Y47)</f>
        <v> </v>
      </c>
      <c r="AH10" s="262"/>
      <c r="AI10" s="262"/>
      <c r="AJ10" s="262"/>
      <c r="AK10" s="162"/>
      <c r="AL10" s="162"/>
      <c r="AM10" s="162"/>
      <c r="AN10" s="162"/>
      <c r="AO10" s="162"/>
      <c r="AP10" s="257" t="s">
        <v>166</v>
      </c>
      <c r="AQ10" s="257"/>
      <c r="AR10" s="257"/>
      <c r="AS10" s="257"/>
      <c r="AT10" s="257"/>
      <c r="AU10" s="257"/>
      <c r="AV10" s="257"/>
      <c r="AW10" s="258" t="s">
        <v>44</v>
      </c>
      <c r="AX10" s="258"/>
      <c r="AY10" s="162" t="s">
        <v>212</v>
      </c>
      <c r="AZ10" s="162"/>
      <c r="BA10" s="162"/>
      <c r="BB10" s="162"/>
      <c r="BC10" s="162"/>
      <c r="BD10" s="162"/>
      <c r="BE10" s="162"/>
      <c r="BF10" s="263"/>
      <c r="BG10" s="263"/>
      <c r="BH10" s="263"/>
      <c r="BI10" s="263"/>
      <c r="BJ10" s="263"/>
      <c r="BK10" s="263"/>
      <c r="BL10" s="263"/>
      <c r="BM10" s="263"/>
      <c r="BN10" s="263"/>
      <c r="BO10" s="263"/>
      <c r="BP10" s="263"/>
      <c r="BQ10" s="130" t="s">
        <v>164</v>
      </c>
      <c r="BR10" s="130"/>
      <c r="BS10" s="130"/>
      <c r="BT10" s="130"/>
      <c r="BU10" s="264"/>
      <c r="BV10" s="264"/>
    </row>
    <row r="11" customFormat="false" ht="18" hidden="false" customHeight="true" outlineLevel="0" collapsed="false">
      <c r="A11" s="260" t="s">
        <v>134</v>
      </c>
      <c r="B11" s="261" t="str">
        <f aca="false">IF(HC!B48=0," ",HC!B48)</f>
        <v> </v>
      </c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2" t="str">
        <f aca="false">IF(HC!Y48=0," ",HC!Y48)</f>
        <v> </v>
      </c>
      <c r="AH11" s="262"/>
      <c r="AI11" s="262"/>
      <c r="AJ11" s="262"/>
      <c r="AK11" s="162"/>
      <c r="AL11" s="162"/>
      <c r="AM11" s="162"/>
      <c r="AN11" s="162"/>
      <c r="AO11" s="162"/>
      <c r="AP11" s="257" t="s">
        <v>167</v>
      </c>
      <c r="AQ11" s="257"/>
      <c r="AR11" s="257"/>
      <c r="AS11" s="257"/>
      <c r="AT11" s="257"/>
      <c r="AU11" s="257"/>
      <c r="AV11" s="257"/>
      <c r="AW11" s="258"/>
      <c r="AX11" s="258"/>
      <c r="AY11" s="162" t="s">
        <v>213</v>
      </c>
      <c r="AZ11" s="162"/>
      <c r="BA11" s="162"/>
      <c r="BB11" s="162"/>
      <c r="BC11" s="162"/>
      <c r="BD11" s="162"/>
      <c r="BE11" s="162"/>
      <c r="BF11" s="263"/>
      <c r="BG11" s="263"/>
      <c r="BH11" s="263"/>
      <c r="BI11" s="263"/>
      <c r="BJ11" s="263"/>
      <c r="BK11" s="263"/>
      <c r="BL11" s="263"/>
      <c r="BM11" s="263"/>
      <c r="BN11" s="263"/>
      <c r="BO11" s="263"/>
      <c r="BP11" s="263"/>
      <c r="BQ11" s="257" t="s">
        <v>214</v>
      </c>
      <c r="BR11" s="257"/>
      <c r="BS11" s="257"/>
      <c r="BT11" s="257"/>
      <c r="BU11" s="264"/>
      <c r="BV11" s="264"/>
    </row>
    <row r="12" customFormat="false" ht="12.75" hidden="false" customHeight="true" outlineLevel="0" collapsed="false">
      <c r="A12" s="265" t="s">
        <v>215</v>
      </c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5"/>
      <c r="BB12" s="265"/>
      <c r="BC12" s="265"/>
      <c r="BD12" s="265"/>
      <c r="BE12" s="265"/>
      <c r="BF12" s="265"/>
      <c r="BG12" s="265"/>
      <c r="BH12" s="265"/>
      <c r="BI12" s="265"/>
      <c r="BJ12" s="265"/>
      <c r="BK12" s="265"/>
      <c r="BL12" s="265"/>
      <c r="BM12" s="265"/>
      <c r="BN12" s="265"/>
      <c r="BO12" s="265"/>
      <c r="BP12" s="265"/>
      <c r="BQ12" s="265"/>
      <c r="BR12" s="265"/>
      <c r="BS12" s="265"/>
      <c r="BT12" s="265"/>
      <c r="BU12" s="265"/>
      <c r="BV12" s="265"/>
    </row>
    <row r="13" customFormat="false" ht="7.5" hidden="false" customHeight="true" outlineLevel="0" collapsed="false">
      <c r="A13" s="266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  <c r="AW13" s="266"/>
      <c r="AX13" s="266"/>
      <c r="AY13" s="266"/>
      <c r="AZ13" s="26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6"/>
      <c r="BK13" s="266"/>
      <c r="BL13" s="266"/>
      <c r="BM13" s="266"/>
      <c r="BN13" s="266"/>
      <c r="BO13" s="266"/>
      <c r="BP13" s="266"/>
      <c r="BQ13" s="266"/>
      <c r="BR13" s="266"/>
      <c r="BS13" s="266"/>
      <c r="BT13" s="266"/>
      <c r="BU13" s="266"/>
      <c r="BV13" s="266"/>
    </row>
    <row r="14" customFormat="false" ht="7.5" hidden="false" customHeight="true" outlineLevel="0" collapsed="false">
      <c r="A14" s="267"/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  <c r="BB14" s="267"/>
      <c r="BC14" s="267"/>
      <c r="BD14" s="267"/>
      <c r="BE14" s="267"/>
      <c r="BF14" s="267"/>
      <c r="BG14" s="267"/>
      <c r="BH14" s="267"/>
      <c r="BI14" s="267"/>
      <c r="BJ14" s="267"/>
      <c r="BK14" s="267"/>
      <c r="BL14" s="267"/>
      <c r="BM14" s="267"/>
      <c r="BN14" s="267"/>
      <c r="BO14" s="267"/>
      <c r="BP14" s="267"/>
      <c r="BQ14" s="267"/>
      <c r="BR14" s="267"/>
      <c r="BS14" s="267"/>
      <c r="BT14" s="267"/>
      <c r="BU14" s="267"/>
      <c r="BV14" s="267"/>
    </row>
    <row r="15" customFormat="false" ht="16.5" hidden="false" customHeight="true" outlineLevel="0" collapsed="false">
      <c r="A15" s="268" t="s">
        <v>216</v>
      </c>
      <c r="B15" s="268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</row>
    <row r="16" customFormat="false" ht="12.75" hidden="false" customHeight="true" outlineLevel="0" collapsed="false">
      <c r="A16" s="269" t="s">
        <v>217</v>
      </c>
      <c r="B16" s="269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70"/>
      <c r="AB16" s="269" t="s">
        <v>218</v>
      </c>
      <c r="AC16" s="269"/>
      <c r="AD16" s="269"/>
      <c r="AE16" s="269"/>
      <c r="AF16" s="269"/>
      <c r="AG16" s="269"/>
      <c r="AH16" s="269"/>
      <c r="AI16" s="269"/>
      <c r="AJ16" s="269"/>
      <c r="AK16" s="269"/>
      <c r="AL16" s="269"/>
      <c r="AM16" s="269"/>
      <c r="AN16" s="269"/>
      <c r="AO16" s="269"/>
      <c r="AP16" s="269"/>
      <c r="AQ16" s="269"/>
      <c r="AR16" s="269"/>
      <c r="AS16" s="269"/>
      <c r="AT16" s="0"/>
      <c r="AU16" s="269" t="s">
        <v>219</v>
      </c>
      <c r="AV16" s="269"/>
      <c r="AW16" s="269"/>
      <c r="AX16" s="269"/>
      <c r="AY16" s="269"/>
      <c r="AZ16" s="269"/>
      <c r="BA16" s="269"/>
      <c r="BB16" s="269"/>
      <c r="BC16" s="269"/>
      <c r="BD16" s="269"/>
      <c r="BE16" s="269"/>
      <c r="BF16" s="269"/>
      <c r="BG16" s="269"/>
      <c r="BH16" s="269"/>
      <c r="BI16" s="269"/>
      <c r="BJ16" s="269"/>
      <c r="BK16" s="269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269"/>
    </row>
    <row r="17" customFormat="false" ht="21.75" hidden="false" customHeight="true" outlineLevel="0" collapsed="false">
      <c r="A17" s="271" t="s">
        <v>220</v>
      </c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2" t="s">
        <v>44</v>
      </c>
      <c r="M17" s="272"/>
      <c r="N17" s="273" t="s">
        <v>221</v>
      </c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4"/>
      <c r="Z17" s="274"/>
      <c r="AA17" s="275"/>
      <c r="AB17" s="276" t="s">
        <v>222</v>
      </c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7"/>
      <c r="AS17" s="277"/>
      <c r="AT17" s="278"/>
      <c r="AU17" s="271" t="s">
        <v>223</v>
      </c>
      <c r="AV17" s="271"/>
      <c r="AW17" s="271"/>
      <c r="AX17" s="271"/>
      <c r="AY17" s="271"/>
      <c r="AZ17" s="271"/>
      <c r="BA17" s="271"/>
      <c r="BB17" s="271"/>
      <c r="BC17" s="271"/>
      <c r="BD17" s="271"/>
      <c r="BE17" s="271"/>
      <c r="BF17" s="271"/>
      <c r="BG17" s="271"/>
      <c r="BH17" s="271"/>
      <c r="BI17" s="272" t="s">
        <v>44</v>
      </c>
      <c r="BJ17" s="272"/>
      <c r="BK17" s="279" t="s">
        <v>224</v>
      </c>
      <c r="BL17" s="279"/>
      <c r="BM17" s="279"/>
      <c r="BN17" s="279"/>
      <c r="BO17" s="279"/>
      <c r="BP17" s="279"/>
      <c r="BQ17" s="279"/>
      <c r="BR17" s="279"/>
      <c r="BS17" s="279"/>
      <c r="BT17" s="279"/>
      <c r="BU17" s="280"/>
      <c r="BV17" s="280"/>
    </row>
    <row r="18" customFormat="false" ht="21.75" hidden="false" customHeight="true" outlineLevel="0" collapsed="false">
      <c r="A18" s="271" t="s">
        <v>225</v>
      </c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2"/>
      <c r="M18" s="272"/>
      <c r="N18" s="273" t="s">
        <v>226</v>
      </c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4"/>
      <c r="Z18" s="274"/>
      <c r="AA18" s="275"/>
      <c r="AB18" s="276" t="s">
        <v>227</v>
      </c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7"/>
      <c r="AS18" s="277"/>
      <c r="AT18" s="278"/>
      <c r="AU18" s="271" t="s">
        <v>228</v>
      </c>
      <c r="AV18" s="271"/>
      <c r="AW18" s="271"/>
      <c r="AX18" s="271"/>
      <c r="AY18" s="271"/>
      <c r="AZ18" s="271"/>
      <c r="BA18" s="271"/>
      <c r="BB18" s="271"/>
      <c r="BC18" s="271"/>
      <c r="BD18" s="271"/>
      <c r="BE18" s="271"/>
      <c r="BF18" s="271"/>
      <c r="BG18" s="271"/>
      <c r="BH18" s="271"/>
      <c r="BI18" s="272" t="s">
        <v>44</v>
      </c>
      <c r="BJ18" s="272"/>
      <c r="BK18" s="279" t="s">
        <v>229</v>
      </c>
      <c r="BL18" s="279"/>
      <c r="BM18" s="279"/>
      <c r="BN18" s="279"/>
      <c r="BO18" s="279"/>
      <c r="BP18" s="279"/>
      <c r="BQ18" s="279"/>
      <c r="BR18" s="279"/>
      <c r="BS18" s="279"/>
      <c r="BT18" s="279"/>
      <c r="BU18" s="280"/>
      <c r="BV18" s="280"/>
    </row>
    <row r="19" customFormat="false" ht="21.75" hidden="false" customHeight="true" outlineLevel="0" collapsed="false">
      <c r="A19" s="271" t="s">
        <v>230</v>
      </c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2"/>
      <c r="M19" s="272"/>
      <c r="N19" s="273" t="s">
        <v>231</v>
      </c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4"/>
      <c r="Z19" s="274"/>
      <c r="AA19" s="275"/>
      <c r="AB19" s="276" t="s">
        <v>232</v>
      </c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7"/>
      <c r="AS19" s="277"/>
      <c r="AT19" s="278"/>
      <c r="AU19" s="271" t="s">
        <v>233</v>
      </c>
      <c r="AV19" s="271"/>
      <c r="AW19" s="271"/>
      <c r="AX19" s="271"/>
      <c r="AY19" s="271"/>
      <c r="AZ19" s="271"/>
      <c r="BA19" s="271"/>
      <c r="BB19" s="271"/>
      <c r="BC19" s="271"/>
      <c r="BD19" s="271"/>
      <c r="BE19" s="271"/>
      <c r="BF19" s="271"/>
      <c r="BG19" s="271"/>
      <c r="BH19" s="271"/>
      <c r="BI19" s="272"/>
      <c r="BJ19" s="272"/>
      <c r="BK19" s="279" t="s">
        <v>234</v>
      </c>
      <c r="BL19" s="279"/>
      <c r="BM19" s="279"/>
      <c r="BN19" s="279"/>
      <c r="BO19" s="279"/>
      <c r="BP19" s="279"/>
      <c r="BQ19" s="279"/>
      <c r="BR19" s="279"/>
      <c r="BS19" s="279"/>
      <c r="BT19" s="279"/>
      <c r="BU19" s="280" t="s">
        <v>44</v>
      </c>
      <c r="BV19" s="280"/>
    </row>
    <row r="20" customFormat="false" ht="21.75" hidden="false" customHeight="true" outlineLevel="0" collapsed="false">
      <c r="A20" s="271" t="s">
        <v>235</v>
      </c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2"/>
      <c r="M20" s="272"/>
      <c r="N20" s="273" t="s">
        <v>236</v>
      </c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4"/>
      <c r="Z20" s="274"/>
      <c r="AA20" s="275"/>
      <c r="AB20" s="276" t="s">
        <v>237</v>
      </c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7"/>
      <c r="AS20" s="277"/>
      <c r="AT20" s="278"/>
      <c r="AU20" s="271" t="s">
        <v>238</v>
      </c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2"/>
      <c r="BJ20" s="272"/>
      <c r="BK20" s="279" t="s">
        <v>239</v>
      </c>
      <c r="BL20" s="279"/>
      <c r="BM20" s="279"/>
      <c r="BN20" s="279"/>
      <c r="BO20" s="279"/>
      <c r="BP20" s="279"/>
      <c r="BQ20" s="279"/>
      <c r="BR20" s="279"/>
      <c r="BS20" s="279"/>
      <c r="BT20" s="279"/>
      <c r="BU20" s="280" t="s">
        <v>44</v>
      </c>
      <c r="BV20" s="280"/>
    </row>
    <row r="21" customFormat="false" ht="21.75" hidden="false" customHeight="true" outlineLevel="0" collapsed="false">
      <c r="A21" s="271" t="s">
        <v>240</v>
      </c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2"/>
      <c r="M21" s="272"/>
      <c r="N21" s="273" t="s">
        <v>241</v>
      </c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4"/>
      <c r="Z21" s="274"/>
      <c r="AA21" s="275"/>
      <c r="AB21" s="276" t="s">
        <v>242</v>
      </c>
      <c r="AC21" s="276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276"/>
      <c r="AP21" s="276"/>
      <c r="AQ21" s="276"/>
      <c r="AR21" s="277"/>
      <c r="AS21" s="277"/>
      <c r="AT21" s="278"/>
      <c r="AU21" s="271" t="s">
        <v>243</v>
      </c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2"/>
      <c r="BJ21" s="272"/>
      <c r="BK21" s="279" t="s">
        <v>244</v>
      </c>
      <c r="BL21" s="279"/>
      <c r="BM21" s="279"/>
      <c r="BN21" s="279"/>
      <c r="BO21" s="279"/>
      <c r="BP21" s="279"/>
      <c r="BQ21" s="279"/>
      <c r="BR21" s="279"/>
      <c r="BS21" s="279"/>
      <c r="BT21" s="279"/>
      <c r="BU21" s="280" t="s">
        <v>44</v>
      </c>
      <c r="BV21" s="280"/>
    </row>
    <row r="22" customFormat="false" ht="21.75" hidden="false" customHeight="true" outlineLevel="0" collapsed="false">
      <c r="A22" s="271" t="s">
        <v>245</v>
      </c>
      <c r="B22" s="271"/>
      <c r="C22" s="271"/>
      <c r="D22" s="271"/>
      <c r="E22" s="271"/>
      <c r="F22" s="271"/>
      <c r="G22" s="271"/>
      <c r="H22" s="271"/>
      <c r="I22" s="271"/>
      <c r="J22" s="271"/>
      <c r="K22" s="271"/>
      <c r="L22" s="272"/>
      <c r="M22" s="272"/>
      <c r="N22" s="281" t="s">
        <v>246</v>
      </c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74"/>
      <c r="Z22" s="274"/>
      <c r="AA22" s="275"/>
      <c r="AB22" s="276" t="s">
        <v>247</v>
      </c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7"/>
      <c r="AS22" s="277"/>
      <c r="AT22" s="278"/>
      <c r="AU22" s="271" t="s">
        <v>248</v>
      </c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  <c r="BG22" s="271"/>
      <c r="BH22" s="271"/>
      <c r="BI22" s="272" t="s">
        <v>44</v>
      </c>
      <c r="BJ22" s="272"/>
      <c r="BK22" s="279" t="s">
        <v>249</v>
      </c>
      <c r="BL22" s="279"/>
      <c r="BM22" s="279"/>
      <c r="BN22" s="279"/>
      <c r="BO22" s="279"/>
      <c r="BP22" s="279"/>
      <c r="BQ22" s="279"/>
      <c r="BR22" s="279"/>
      <c r="BS22" s="279"/>
      <c r="BT22" s="279"/>
      <c r="BU22" s="280"/>
      <c r="BV22" s="280"/>
    </row>
    <row r="23" customFormat="false" ht="21.75" hidden="false" customHeight="true" outlineLevel="0" collapsed="false">
      <c r="A23" s="271" t="s">
        <v>250</v>
      </c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2"/>
      <c r="M23" s="272"/>
      <c r="N23" s="273" t="s">
        <v>251</v>
      </c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4"/>
      <c r="Z23" s="274"/>
      <c r="AA23" s="275"/>
      <c r="AB23" s="276" t="s">
        <v>252</v>
      </c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276"/>
      <c r="AQ23" s="276"/>
      <c r="AR23" s="277"/>
      <c r="AS23" s="277"/>
      <c r="AT23" s="278"/>
      <c r="AU23" s="271" t="s">
        <v>253</v>
      </c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2" t="s">
        <v>44</v>
      </c>
      <c r="BJ23" s="272"/>
      <c r="BK23" s="279" t="s">
        <v>254</v>
      </c>
      <c r="BL23" s="279"/>
      <c r="BM23" s="279"/>
      <c r="BN23" s="279"/>
      <c r="BO23" s="279"/>
      <c r="BP23" s="279"/>
      <c r="BQ23" s="279"/>
      <c r="BR23" s="279"/>
      <c r="BS23" s="279"/>
      <c r="BT23" s="279"/>
      <c r="BU23" s="280"/>
      <c r="BV23" s="280"/>
    </row>
    <row r="24" customFormat="false" ht="21.75" hidden="false" customHeight="true" outlineLevel="0" collapsed="false">
      <c r="A24" s="271" t="s">
        <v>255</v>
      </c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2"/>
      <c r="M24" s="272"/>
      <c r="N24" s="273" t="s">
        <v>256</v>
      </c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4"/>
      <c r="Z24" s="274"/>
      <c r="AA24" s="275"/>
      <c r="AB24" s="276" t="s">
        <v>257</v>
      </c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276"/>
      <c r="AQ24" s="276"/>
      <c r="AR24" s="277"/>
      <c r="AS24" s="277"/>
      <c r="AT24" s="278"/>
      <c r="AU24" s="271" t="s">
        <v>258</v>
      </c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  <c r="BG24" s="271"/>
      <c r="BH24" s="271"/>
      <c r="BI24" s="272" t="s">
        <v>44</v>
      </c>
      <c r="BJ24" s="272"/>
      <c r="BK24" s="279" t="s">
        <v>259</v>
      </c>
      <c r="BL24" s="279"/>
      <c r="BM24" s="279"/>
      <c r="BN24" s="279"/>
      <c r="BO24" s="279"/>
      <c r="BP24" s="279"/>
      <c r="BQ24" s="279"/>
      <c r="BR24" s="279"/>
      <c r="BS24" s="279"/>
      <c r="BT24" s="279"/>
      <c r="BU24" s="280"/>
      <c r="BV24" s="280"/>
    </row>
    <row r="25" customFormat="false" ht="21.75" hidden="false" customHeight="true" outlineLevel="0" collapsed="false">
      <c r="A25" s="271" t="s">
        <v>260</v>
      </c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2"/>
      <c r="M25" s="272"/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4"/>
      <c r="Z25" s="274"/>
      <c r="AA25" s="275"/>
      <c r="AB25" s="276" t="s">
        <v>261</v>
      </c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7"/>
      <c r="AS25" s="277"/>
      <c r="AT25" s="278"/>
      <c r="AU25" s="271" t="s">
        <v>262</v>
      </c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2"/>
      <c r="BJ25" s="272"/>
      <c r="BK25" s="279" t="s">
        <v>263</v>
      </c>
      <c r="BL25" s="279"/>
      <c r="BM25" s="279"/>
      <c r="BN25" s="279"/>
      <c r="BO25" s="279"/>
      <c r="BP25" s="279"/>
      <c r="BQ25" s="279"/>
      <c r="BR25" s="279"/>
      <c r="BS25" s="279"/>
      <c r="BT25" s="279"/>
      <c r="BU25" s="280"/>
      <c r="BV25" s="280"/>
    </row>
    <row r="26" customFormat="false" ht="21.75" hidden="false" customHeight="true" outlineLevel="0" collapsed="false">
      <c r="A26" s="271" t="s">
        <v>264</v>
      </c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2"/>
      <c r="M26" s="272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4"/>
      <c r="Z26" s="274"/>
      <c r="AA26" s="275"/>
      <c r="AB26" s="276" t="s">
        <v>265</v>
      </c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7"/>
      <c r="AS26" s="277"/>
      <c r="AT26" s="278"/>
      <c r="AU26" s="271" t="s">
        <v>266</v>
      </c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  <c r="BG26" s="271"/>
      <c r="BH26" s="271"/>
      <c r="BI26" s="272"/>
      <c r="BJ26" s="272"/>
      <c r="BK26" s="279" t="s">
        <v>267</v>
      </c>
      <c r="BL26" s="279"/>
      <c r="BM26" s="279"/>
      <c r="BN26" s="279"/>
      <c r="BO26" s="279"/>
      <c r="BP26" s="279"/>
      <c r="BQ26" s="279"/>
      <c r="BR26" s="279"/>
      <c r="BS26" s="279"/>
      <c r="BT26" s="279"/>
      <c r="BU26" s="280" t="s">
        <v>44</v>
      </c>
      <c r="BV26" s="280"/>
    </row>
    <row r="27" customFormat="false" ht="21.75" hidden="false" customHeight="true" outlineLevel="0" collapsed="false">
      <c r="A27" s="282" t="s">
        <v>268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3"/>
      <c r="M27" s="283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5"/>
      <c r="Z27" s="285"/>
      <c r="AA27" s="275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7"/>
      <c r="AS27" s="287"/>
      <c r="AT27" s="278"/>
      <c r="AU27" s="271" t="s">
        <v>269</v>
      </c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2"/>
      <c r="BJ27" s="272"/>
      <c r="BK27" s="279" t="s">
        <v>270</v>
      </c>
      <c r="BL27" s="279"/>
      <c r="BM27" s="279"/>
      <c r="BN27" s="279"/>
      <c r="BO27" s="279"/>
      <c r="BP27" s="279"/>
      <c r="BQ27" s="279"/>
      <c r="BR27" s="279"/>
      <c r="BS27" s="279"/>
      <c r="BT27" s="279"/>
      <c r="BU27" s="280"/>
      <c r="BV27" s="280"/>
    </row>
    <row r="28" customFormat="false" ht="13.5" hidden="false" customHeight="true" outlineLevel="0" collapsed="false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288"/>
      <c r="M28" s="288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8"/>
      <c r="Z28" s="288"/>
      <c r="AA28" s="290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291"/>
      <c r="AN28" s="291"/>
      <c r="AO28" s="291"/>
      <c r="AP28" s="291"/>
      <c r="AQ28" s="291"/>
      <c r="AR28" s="292"/>
      <c r="AS28" s="292"/>
      <c r="AT28" s="0"/>
      <c r="AU28" s="271" t="s">
        <v>271</v>
      </c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2"/>
      <c r="BJ28" s="272"/>
      <c r="BK28" s="279" t="s">
        <v>272</v>
      </c>
      <c r="BL28" s="279"/>
      <c r="BM28" s="279"/>
      <c r="BN28" s="279"/>
      <c r="BO28" s="279"/>
      <c r="BP28" s="279"/>
      <c r="BQ28" s="279"/>
      <c r="BR28" s="279"/>
      <c r="BS28" s="279"/>
      <c r="BT28" s="279"/>
      <c r="BU28" s="280"/>
      <c r="BV28" s="280"/>
    </row>
    <row r="29" customFormat="false" ht="13.5" hidden="false" customHeight="true" outlineLevel="0" collapsed="false">
      <c r="A29" s="293" t="s">
        <v>273</v>
      </c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0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0"/>
      <c r="AU29" s="271" t="s">
        <v>274</v>
      </c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2"/>
      <c r="BJ29" s="272"/>
      <c r="BK29" s="279" t="s">
        <v>275</v>
      </c>
      <c r="BL29" s="279"/>
      <c r="BM29" s="279"/>
      <c r="BN29" s="279"/>
      <c r="BO29" s="279"/>
      <c r="BP29" s="279"/>
      <c r="BQ29" s="279"/>
      <c r="BR29" s="279"/>
      <c r="BS29" s="279"/>
      <c r="BT29" s="279"/>
      <c r="BU29" s="280"/>
      <c r="BV29" s="280"/>
    </row>
    <row r="30" customFormat="false" ht="15.75" hidden="false" customHeight="true" outlineLevel="0" collapsed="false">
      <c r="A30" s="276" t="s">
        <v>276</v>
      </c>
      <c r="B30" s="276"/>
      <c r="C30" s="276"/>
      <c r="D30" s="276"/>
      <c r="E30" s="276"/>
      <c r="F30" s="276"/>
      <c r="G30" s="276"/>
      <c r="H30" s="276"/>
      <c r="I30" s="276"/>
      <c r="J30" s="276"/>
      <c r="K30" s="276"/>
      <c r="L30" s="294"/>
      <c r="M30" s="294"/>
      <c r="N30" s="295" t="s">
        <v>277</v>
      </c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77"/>
      <c r="Z30" s="277"/>
      <c r="AA30" s="275"/>
      <c r="AB30" s="296" t="s">
        <v>278</v>
      </c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0"/>
      <c r="AU30" s="271" t="s">
        <v>279</v>
      </c>
      <c r="AV30" s="271"/>
      <c r="AW30" s="271"/>
      <c r="AX30" s="271"/>
      <c r="AY30" s="271"/>
      <c r="AZ30" s="271"/>
      <c r="BA30" s="271"/>
      <c r="BB30" s="271"/>
      <c r="BC30" s="271"/>
      <c r="BD30" s="271"/>
      <c r="BE30" s="271"/>
      <c r="BF30" s="271"/>
      <c r="BG30" s="271"/>
      <c r="BH30" s="271"/>
      <c r="BI30" s="272"/>
      <c r="BJ30" s="272"/>
      <c r="BK30" s="279"/>
      <c r="BL30" s="279"/>
      <c r="BM30" s="279"/>
      <c r="BN30" s="279"/>
      <c r="BO30" s="279"/>
      <c r="BP30" s="279"/>
      <c r="BQ30" s="279"/>
      <c r="BR30" s="279"/>
      <c r="BS30" s="279"/>
      <c r="BT30" s="279"/>
      <c r="BU30" s="280"/>
      <c r="BV30" s="280"/>
    </row>
    <row r="31" customFormat="false" ht="15.75" hidden="false" customHeight="true" outlineLevel="0" collapsed="false">
      <c r="A31" s="276" t="s">
        <v>280</v>
      </c>
      <c r="B31" s="276"/>
      <c r="C31" s="276"/>
      <c r="D31" s="276"/>
      <c r="E31" s="276"/>
      <c r="F31" s="276"/>
      <c r="G31" s="276"/>
      <c r="H31" s="276"/>
      <c r="I31" s="276"/>
      <c r="J31" s="276"/>
      <c r="K31" s="276"/>
      <c r="L31" s="294"/>
      <c r="M31" s="294"/>
      <c r="N31" s="295" t="s">
        <v>281</v>
      </c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77"/>
      <c r="Z31" s="277"/>
      <c r="AA31" s="275"/>
      <c r="AB31" s="271" t="s">
        <v>282</v>
      </c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7" t="s">
        <v>44</v>
      </c>
      <c r="AS31" s="277"/>
      <c r="AT31" s="0"/>
      <c r="AU31" s="271" t="s">
        <v>283</v>
      </c>
      <c r="AV31" s="271"/>
      <c r="AW31" s="271"/>
      <c r="AX31" s="271"/>
      <c r="AY31" s="271"/>
      <c r="AZ31" s="271"/>
      <c r="BA31" s="271"/>
      <c r="BB31" s="271"/>
      <c r="BC31" s="271"/>
      <c r="BD31" s="271"/>
      <c r="BE31" s="271"/>
      <c r="BF31" s="271"/>
      <c r="BG31" s="271"/>
      <c r="BH31" s="271"/>
      <c r="BI31" s="272"/>
      <c r="BJ31" s="272"/>
      <c r="BK31" s="279"/>
      <c r="BL31" s="279"/>
      <c r="BM31" s="279"/>
      <c r="BN31" s="279"/>
      <c r="BO31" s="279"/>
      <c r="BP31" s="279"/>
      <c r="BQ31" s="279"/>
      <c r="BR31" s="279"/>
      <c r="BS31" s="279"/>
      <c r="BT31" s="279"/>
      <c r="BU31" s="280"/>
      <c r="BV31" s="280"/>
    </row>
    <row r="32" customFormat="false" ht="15.75" hidden="false" customHeight="true" outlineLevel="0" collapsed="false">
      <c r="A32" s="276" t="s">
        <v>284</v>
      </c>
      <c r="B32" s="276"/>
      <c r="C32" s="276"/>
      <c r="D32" s="276"/>
      <c r="E32" s="276"/>
      <c r="F32" s="276"/>
      <c r="G32" s="276"/>
      <c r="H32" s="276"/>
      <c r="I32" s="276"/>
      <c r="J32" s="276"/>
      <c r="K32" s="276"/>
      <c r="L32" s="294"/>
      <c r="M32" s="294"/>
      <c r="N32" s="295" t="s">
        <v>285</v>
      </c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77"/>
      <c r="Z32" s="277"/>
      <c r="AA32" s="275"/>
      <c r="AB32" s="271" t="s">
        <v>286</v>
      </c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7"/>
      <c r="AS32" s="277"/>
      <c r="AT32" s="0"/>
      <c r="AU32" s="282" t="s">
        <v>287</v>
      </c>
      <c r="AV32" s="282"/>
      <c r="AW32" s="282"/>
      <c r="AX32" s="282"/>
      <c r="AY32" s="282"/>
      <c r="AZ32" s="282"/>
      <c r="BA32" s="282"/>
      <c r="BB32" s="282"/>
      <c r="BC32" s="282"/>
      <c r="BD32" s="282"/>
      <c r="BE32" s="282"/>
      <c r="BF32" s="282"/>
      <c r="BG32" s="282"/>
      <c r="BH32" s="282"/>
      <c r="BI32" s="283"/>
      <c r="BJ32" s="283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97"/>
      <c r="BV32" s="297"/>
    </row>
    <row r="33" customFormat="false" ht="15.75" hidden="false" customHeight="true" outlineLevel="0" collapsed="false">
      <c r="A33" s="276" t="s">
        <v>288</v>
      </c>
      <c r="B33" s="276"/>
      <c r="C33" s="276"/>
      <c r="D33" s="276"/>
      <c r="E33" s="276"/>
      <c r="F33" s="276"/>
      <c r="G33" s="276"/>
      <c r="H33" s="276"/>
      <c r="I33" s="276"/>
      <c r="J33" s="276"/>
      <c r="K33" s="276"/>
      <c r="L33" s="294"/>
      <c r="M33" s="294"/>
      <c r="N33" s="273" t="s">
        <v>289</v>
      </c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7"/>
      <c r="Z33" s="277"/>
      <c r="AA33" s="275"/>
      <c r="AB33" s="271" t="s">
        <v>290</v>
      </c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7"/>
      <c r="AS33" s="277"/>
      <c r="AT33" s="0"/>
      <c r="AU33" s="270"/>
      <c r="AV33" s="270"/>
      <c r="AW33" s="270"/>
      <c r="AX33" s="270"/>
      <c r="AY33" s="270"/>
      <c r="AZ33" s="270"/>
      <c r="BA33" s="270"/>
      <c r="BB33" s="270"/>
      <c r="BC33" s="270"/>
      <c r="BD33" s="270"/>
      <c r="BE33" s="270"/>
      <c r="BF33" s="270"/>
      <c r="BG33" s="270"/>
      <c r="BH33" s="270"/>
      <c r="BI33" s="270"/>
      <c r="BJ33" s="270"/>
      <c r="BK33" s="270"/>
      <c r="BL33" s="270"/>
      <c r="BM33" s="270"/>
      <c r="BN33" s="270"/>
      <c r="BO33" s="270"/>
      <c r="BP33" s="270"/>
      <c r="BQ33" s="270"/>
      <c r="BR33" s="270"/>
      <c r="BS33" s="270"/>
      <c r="BT33" s="270"/>
      <c r="BU33" s="270"/>
      <c r="BV33" s="270"/>
    </row>
    <row r="34" customFormat="false" ht="12.75" hidden="false" customHeight="true" outlineLevel="0" collapsed="false">
      <c r="A34" s="276" t="s">
        <v>291</v>
      </c>
      <c r="B34" s="276"/>
      <c r="C34" s="276"/>
      <c r="D34" s="276"/>
      <c r="E34" s="276"/>
      <c r="F34" s="276"/>
      <c r="G34" s="276"/>
      <c r="H34" s="276"/>
      <c r="I34" s="276"/>
      <c r="J34" s="276"/>
      <c r="K34" s="276"/>
      <c r="L34" s="294"/>
      <c r="M34" s="294"/>
      <c r="N34" s="273" t="s">
        <v>292</v>
      </c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7"/>
      <c r="Z34" s="277"/>
      <c r="AA34" s="298"/>
      <c r="AB34" s="271" t="s">
        <v>293</v>
      </c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7"/>
      <c r="AS34" s="277"/>
      <c r="AT34" s="0"/>
      <c r="AU34" s="293" t="s">
        <v>294</v>
      </c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3"/>
      <c r="BI34" s="293"/>
      <c r="BJ34" s="293"/>
      <c r="BK34" s="293"/>
      <c r="BL34" s="293"/>
      <c r="BM34" s="293"/>
      <c r="BN34" s="293"/>
      <c r="BO34" s="293"/>
      <c r="BP34" s="293"/>
      <c r="BQ34" s="293"/>
      <c r="BR34" s="293"/>
      <c r="BS34" s="293"/>
      <c r="BT34" s="293"/>
      <c r="BU34" s="293"/>
      <c r="BV34" s="293"/>
    </row>
    <row r="35" customFormat="false" ht="14.25" hidden="false" customHeight="true" outlineLevel="0" collapsed="false">
      <c r="A35" s="276" t="s">
        <v>295</v>
      </c>
      <c r="B35" s="276"/>
      <c r="C35" s="276"/>
      <c r="D35" s="276"/>
      <c r="E35" s="276"/>
      <c r="F35" s="276"/>
      <c r="G35" s="276"/>
      <c r="H35" s="276"/>
      <c r="I35" s="276"/>
      <c r="J35" s="276"/>
      <c r="K35" s="276"/>
      <c r="L35" s="294"/>
      <c r="M35" s="294"/>
      <c r="N35" s="273" t="s">
        <v>296</v>
      </c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7"/>
      <c r="Z35" s="277"/>
      <c r="AA35" s="298"/>
      <c r="AB35" s="271" t="s">
        <v>297</v>
      </c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7"/>
      <c r="AS35" s="277"/>
      <c r="AT35" s="0"/>
      <c r="AU35" s="299" t="s">
        <v>298</v>
      </c>
      <c r="AV35" s="299"/>
      <c r="AW35" s="299"/>
      <c r="AX35" s="299"/>
      <c r="AY35" s="299"/>
      <c r="AZ35" s="299"/>
      <c r="BA35" s="299"/>
      <c r="BB35" s="299"/>
      <c r="BC35" s="299"/>
      <c r="BD35" s="299"/>
      <c r="BE35" s="299"/>
      <c r="BF35" s="299"/>
      <c r="BG35" s="299"/>
      <c r="BH35" s="299"/>
      <c r="BI35" s="294"/>
      <c r="BJ35" s="294"/>
      <c r="BK35" s="273" t="s">
        <v>299</v>
      </c>
      <c r="BL35" s="273"/>
      <c r="BM35" s="273"/>
      <c r="BN35" s="273"/>
      <c r="BO35" s="273"/>
      <c r="BP35" s="273"/>
      <c r="BQ35" s="273"/>
      <c r="BR35" s="273"/>
      <c r="BS35" s="273"/>
      <c r="BT35" s="273"/>
      <c r="BU35" s="300"/>
      <c r="BV35" s="300"/>
    </row>
    <row r="36" customFormat="false" ht="14.25" hidden="false" customHeight="true" outlineLevel="0" collapsed="false">
      <c r="A36" s="276" t="s">
        <v>300</v>
      </c>
      <c r="B36" s="276"/>
      <c r="C36" s="276"/>
      <c r="D36" s="276"/>
      <c r="E36" s="276"/>
      <c r="F36" s="276"/>
      <c r="G36" s="276"/>
      <c r="H36" s="276"/>
      <c r="I36" s="276"/>
      <c r="J36" s="276"/>
      <c r="K36" s="276"/>
      <c r="L36" s="294"/>
      <c r="M36" s="294"/>
      <c r="N36" s="273" t="s">
        <v>301</v>
      </c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7"/>
      <c r="Z36" s="277"/>
      <c r="AA36" s="298"/>
      <c r="AB36" s="271" t="s">
        <v>302</v>
      </c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7"/>
      <c r="AS36" s="277"/>
      <c r="AT36" s="0"/>
      <c r="AU36" s="299" t="s">
        <v>303</v>
      </c>
      <c r="AV36" s="299"/>
      <c r="AW36" s="299"/>
      <c r="AX36" s="299"/>
      <c r="AY36" s="299"/>
      <c r="AZ36" s="299"/>
      <c r="BA36" s="299"/>
      <c r="BB36" s="299"/>
      <c r="BC36" s="299"/>
      <c r="BD36" s="299"/>
      <c r="BE36" s="299"/>
      <c r="BF36" s="299"/>
      <c r="BG36" s="299"/>
      <c r="BH36" s="299"/>
      <c r="BI36" s="294"/>
      <c r="BJ36" s="294"/>
      <c r="BK36" s="273" t="s">
        <v>304</v>
      </c>
      <c r="BL36" s="273"/>
      <c r="BM36" s="273"/>
      <c r="BN36" s="273"/>
      <c r="BO36" s="273"/>
      <c r="BP36" s="273"/>
      <c r="BQ36" s="273"/>
      <c r="BR36" s="273"/>
      <c r="BS36" s="273"/>
      <c r="BT36" s="273"/>
      <c r="BU36" s="300"/>
      <c r="BV36" s="300"/>
    </row>
    <row r="37" customFormat="false" ht="14.25" hidden="false" customHeight="true" outlineLevel="0" collapsed="false">
      <c r="A37" s="276" t="s">
        <v>305</v>
      </c>
      <c r="B37" s="276"/>
      <c r="C37" s="276"/>
      <c r="D37" s="276"/>
      <c r="E37" s="276"/>
      <c r="F37" s="276"/>
      <c r="G37" s="276"/>
      <c r="H37" s="276"/>
      <c r="I37" s="276"/>
      <c r="J37" s="276"/>
      <c r="K37" s="276"/>
      <c r="L37" s="294"/>
      <c r="M37" s="294"/>
      <c r="N37" s="273" t="s">
        <v>306</v>
      </c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7"/>
      <c r="Z37" s="277"/>
      <c r="AA37" s="298"/>
      <c r="AB37" s="271" t="s">
        <v>307</v>
      </c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7"/>
      <c r="AS37" s="277"/>
      <c r="AT37" s="0"/>
      <c r="AU37" s="299" t="s">
        <v>308</v>
      </c>
      <c r="AV37" s="299"/>
      <c r="AW37" s="299"/>
      <c r="AX37" s="299"/>
      <c r="AY37" s="299"/>
      <c r="AZ37" s="299"/>
      <c r="BA37" s="299"/>
      <c r="BB37" s="299"/>
      <c r="BC37" s="299"/>
      <c r="BD37" s="299"/>
      <c r="BE37" s="299"/>
      <c r="BF37" s="299"/>
      <c r="BG37" s="299"/>
      <c r="BH37" s="299"/>
      <c r="BI37" s="294"/>
      <c r="BJ37" s="294"/>
      <c r="BK37" s="273" t="s">
        <v>309</v>
      </c>
      <c r="BL37" s="273"/>
      <c r="BM37" s="273"/>
      <c r="BN37" s="273"/>
      <c r="BO37" s="273"/>
      <c r="BP37" s="273"/>
      <c r="BQ37" s="273"/>
      <c r="BR37" s="273"/>
      <c r="BS37" s="273"/>
      <c r="BT37" s="273"/>
      <c r="BU37" s="300"/>
      <c r="BV37" s="300"/>
    </row>
    <row r="38" customFormat="false" ht="14.25" hidden="false" customHeight="true" outlineLevel="0" collapsed="false">
      <c r="A38" s="276" t="s">
        <v>310</v>
      </c>
      <c r="B38" s="276"/>
      <c r="C38" s="276"/>
      <c r="D38" s="276"/>
      <c r="E38" s="276"/>
      <c r="F38" s="276"/>
      <c r="G38" s="276"/>
      <c r="H38" s="276"/>
      <c r="I38" s="276"/>
      <c r="J38" s="276"/>
      <c r="K38" s="276"/>
      <c r="L38" s="294"/>
      <c r="M38" s="294"/>
      <c r="N38" s="273" t="s">
        <v>311</v>
      </c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7"/>
      <c r="Z38" s="277"/>
      <c r="AA38" s="298"/>
      <c r="AB38" s="271" t="s">
        <v>312</v>
      </c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7"/>
      <c r="AS38" s="277"/>
      <c r="AT38" s="0"/>
      <c r="AU38" s="299" t="s">
        <v>313</v>
      </c>
      <c r="AV38" s="299"/>
      <c r="AW38" s="299"/>
      <c r="AX38" s="299"/>
      <c r="AY38" s="299"/>
      <c r="AZ38" s="299"/>
      <c r="BA38" s="299"/>
      <c r="BB38" s="299"/>
      <c r="BC38" s="299"/>
      <c r="BD38" s="299"/>
      <c r="BE38" s="299"/>
      <c r="BF38" s="299"/>
      <c r="BG38" s="299"/>
      <c r="BH38" s="299"/>
      <c r="BI38" s="294"/>
      <c r="BJ38" s="294"/>
      <c r="BK38" s="273" t="s">
        <v>314</v>
      </c>
      <c r="BL38" s="273"/>
      <c r="BM38" s="273"/>
      <c r="BN38" s="273"/>
      <c r="BO38" s="273"/>
      <c r="BP38" s="273"/>
      <c r="BQ38" s="273"/>
      <c r="BR38" s="273"/>
      <c r="BS38" s="273"/>
      <c r="BT38" s="273"/>
      <c r="BU38" s="300"/>
      <c r="BV38" s="300"/>
    </row>
    <row r="39" customFormat="false" ht="14.25" hidden="false" customHeight="true" outlineLevel="0" collapsed="false">
      <c r="A39" s="276" t="s">
        <v>315</v>
      </c>
      <c r="B39" s="276"/>
      <c r="C39" s="276"/>
      <c r="D39" s="276"/>
      <c r="E39" s="276"/>
      <c r="F39" s="276"/>
      <c r="G39" s="276"/>
      <c r="H39" s="276"/>
      <c r="I39" s="276"/>
      <c r="J39" s="276"/>
      <c r="K39" s="276"/>
      <c r="L39" s="294"/>
      <c r="M39" s="294"/>
      <c r="N39" s="273" t="s">
        <v>316</v>
      </c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7"/>
      <c r="Z39" s="277"/>
      <c r="AA39" s="298"/>
      <c r="AB39" s="271" t="s">
        <v>317</v>
      </c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7"/>
      <c r="AS39" s="277"/>
      <c r="AT39" s="0"/>
      <c r="AU39" s="299" t="s">
        <v>318</v>
      </c>
      <c r="AV39" s="299"/>
      <c r="AW39" s="299"/>
      <c r="AX39" s="299"/>
      <c r="AY39" s="299"/>
      <c r="AZ39" s="299"/>
      <c r="BA39" s="299"/>
      <c r="BB39" s="299"/>
      <c r="BC39" s="299"/>
      <c r="BD39" s="299"/>
      <c r="BE39" s="299"/>
      <c r="BF39" s="299"/>
      <c r="BG39" s="299"/>
      <c r="BH39" s="299"/>
      <c r="BI39" s="294"/>
      <c r="BJ39" s="294"/>
      <c r="BK39" s="273" t="s">
        <v>319</v>
      </c>
      <c r="BL39" s="273"/>
      <c r="BM39" s="273"/>
      <c r="BN39" s="273"/>
      <c r="BO39" s="273"/>
      <c r="BP39" s="273"/>
      <c r="BQ39" s="273"/>
      <c r="BR39" s="273"/>
      <c r="BS39" s="273"/>
      <c r="BT39" s="273"/>
      <c r="BU39" s="300"/>
      <c r="BV39" s="300"/>
    </row>
    <row r="40" customFormat="false" ht="14.25" hidden="false" customHeight="true" outlineLevel="0" collapsed="false">
      <c r="A40" s="276" t="s">
        <v>320</v>
      </c>
      <c r="B40" s="276"/>
      <c r="C40" s="276"/>
      <c r="D40" s="276"/>
      <c r="E40" s="276"/>
      <c r="F40" s="276"/>
      <c r="G40" s="276"/>
      <c r="H40" s="276"/>
      <c r="I40" s="276"/>
      <c r="J40" s="276"/>
      <c r="K40" s="276"/>
      <c r="L40" s="294"/>
      <c r="M40" s="294"/>
      <c r="N40" s="273" t="s">
        <v>321</v>
      </c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7"/>
      <c r="Z40" s="277"/>
      <c r="AA40" s="298"/>
      <c r="AB40" s="271" t="s">
        <v>322</v>
      </c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7"/>
      <c r="AS40" s="277"/>
      <c r="AT40" s="0"/>
      <c r="AU40" s="276" t="s">
        <v>323</v>
      </c>
      <c r="AV40" s="276"/>
      <c r="AW40" s="276"/>
      <c r="AX40" s="276"/>
      <c r="AY40" s="276"/>
      <c r="AZ40" s="276"/>
      <c r="BA40" s="276"/>
      <c r="BB40" s="276"/>
      <c r="BC40" s="276"/>
      <c r="BD40" s="276"/>
      <c r="BE40" s="276"/>
      <c r="BF40" s="276"/>
      <c r="BG40" s="276"/>
      <c r="BH40" s="276"/>
      <c r="BI40" s="294"/>
      <c r="BJ40" s="294"/>
      <c r="BK40" s="273" t="s">
        <v>324</v>
      </c>
      <c r="BL40" s="273"/>
      <c r="BM40" s="273"/>
      <c r="BN40" s="273"/>
      <c r="BO40" s="273"/>
      <c r="BP40" s="273"/>
      <c r="BQ40" s="273"/>
      <c r="BR40" s="273"/>
      <c r="BS40" s="273"/>
      <c r="BT40" s="273"/>
      <c r="BU40" s="300"/>
      <c r="BV40" s="300"/>
    </row>
    <row r="41" customFormat="false" ht="14.25" hidden="false" customHeight="true" outlineLevel="0" collapsed="false">
      <c r="A41" s="276" t="s">
        <v>325</v>
      </c>
      <c r="B41" s="276"/>
      <c r="C41" s="276"/>
      <c r="D41" s="276"/>
      <c r="E41" s="276"/>
      <c r="F41" s="276"/>
      <c r="G41" s="276"/>
      <c r="H41" s="276"/>
      <c r="I41" s="276"/>
      <c r="J41" s="276"/>
      <c r="K41" s="276"/>
      <c r="L41" s="294"/>
      <c r="M41" s="294"/>
      <c r="N41" s="273" t="s">
        <v>326</v>
      </c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7"/>
      <c r="Z41" s="277"/>
      <c r="AA41" s="298"/>
      <c r="AB41" s="271" t="s">
        <v>327</v>
      </c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7"/>
      <c r="AS41" s="277"/>
      <c r="AT41" s="0"/>
      <c r="AU41" s="276" t="s">
        <v>328</v>
      </c>
      <c r="AV41" s="276"/>
      <c r="AW41" s="276"/>
      <c r="AX41" s="276"/>
      <c r="AY41" s="276"/>
      <c r="AZ41" s="276"/>
      <c r="BA41" s="276"/>
      <c r="BB41" s="276"/>
      <c r="BC41" s="276"/>
      <c r="BD41" s="276"/>
      <c r="BE41" s="276"/>
      <c r="BF41" s="276"/>
      <c r="BG41" s="276"/>
      <c r="BH41" s="276"/>
      <c r="BI41" s="294"/>
      <c r="BJ41" s="294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300"/>
      <c r="BV41" s="300"/>
    </row>
    <row r="42" customFormat="false" ht="14.25" hidden="false" customHeight="true" outlineLevel="0" collapsed="false">
      <c r="A42" s="276" t="s">
        <v>329</v>
      </c>
      <c r="B42" s="276"/>
      <c r="C42" s="276"/>
      <c r="D42" s="276"/>
      <c r="E42" s="276"/>
      <c r="F42" s="276"/>
      <c r="G42" s="276"/>
      <c r="H42" s="276"/>
      <c r="I42" s="276"/>
      <c r="J42" s="276"/>
      <c r="K42" s="276"/>
      <c r="L42" s="294"/>
      <c r="M42" s="294"/>
      <c r="N42" s="273" t="s">
        <v>330</v>
      </c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7"/>
      <c r="Z42" s="277"/>
      <c r="AA42" s="298"/>
      <c r="AB42" s="271" t="s">
        <v>331</v>
      </c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7"/>
      <c r="AS42" s="277"/>
      <c r="AT42" s="0"/>
      <c r="AU42" s="301" t="s">
        <v>332</v>
      </c>
      <c r="AV42" s="301"/>
      <c r="AW42" s="301"/>
      <c r="AX42" s="301"/>
      <c r="AY42" s="301"/>
      <c r="AZ42" s="301"/>
      <c r="BA42" s="301"/>
      <c r="BB42" s="301"/>
      <c r="BC42" s="301"/>
      <c r="BD42" s="301"/>
      <c r="BE42" s="301"/>
      <c r="BF42" s="301"/>
      <c r="BG42" s="301"/>
      <c r="BH42" s="301"/>
      <c r="BI42" s="302"/>
      <c r="BJ42" s="302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4"/>
      <c r="BV42" s="304"/>
    </row>
    <row r="43" customFormat="false" ht="13.5" hidden="false" customHeight="true" outlineLevel="0" collapsed="false">
      <c r="A43" s="276" t="s">
        <v>333</v>
      </c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94"/>
      <c r="M43" s="294"/>
      <c r="N43" s="273" t="s">
        <v>334</v>
      </c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7"/>
      <c r="Z43" s="277"/>
      <c r="AA43" s="298"/>
      <c r="AB43" s="271" t="s">
        <v>335</v>
      </c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7"/>
      <c r="AS43" s="277"/>
      <c r="AT43" s="0"/>
    </row>
    <row r="44" customFormat="false" ht="12.75" hidden="false" customHeight="true" outlineLevel="0" collapsed="false">
      <c r="A44" s="276" t="s">
        <v>336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94"/>
      <c r="M44" s="294"/>
      <c r="N44" s="273" t="s">
        <v>337</v>
      </c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7"/>
      <c r="Z44" s="277"/>
      <c r="AA44" s="298"/>
      <c r="AB44" s="271" t="s">
        <v>338</v>
      </c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7"/>
      <c r="AS44" s="277"/>
      <c r="AT44" s="0"/>
      <c r="AU44" s="305" t="s">
        <v>339</v>
      </c>
      <c r="AV44" s="305"/>
      <c r="AW44" s="305"/>
      <c r="AX44" s="305"/>
      <c r="AY44" s="305"/>
      <c r="AZ44" s="305"/>
      <c r="BA44" s="305"/>
      <c r="BB44" s="305"/>
      <c r="BC44" s="305"/>
      <c r="BD44" s="305"/>
      <c r="BE44" s="305"/>
      <c r="BF44" s="305"/>
      <c r="BG44" s="305"/>
      <c r="BH44" s="305"/>
      <c r="BI44" s="305"/>
      <c r="BJ44" s="305"/>
      <c r="BK44" s="305"/>
      <c r="BL44" s="305"/>
      <c r="BM44" s="305"/>
      <c r="BN44" s="305"/>
      <c r="BO44" s="305"/>
      <c r="BP44" s="305"/>
      <c r="BQ44" s="305"/>
      <c r="BR44" s="305"/>
      <c r="BS44" s="305"/>
      <c r="BT44" s="305"/>
      <c r="BU44" s="305"/>
      <c r="BV44" s="305"/>
    </row>
    <row r="45" customFormat="false" ht="12.75" hidden="false" customHeight="true" outlineLevel="0" collapsed="false">
      <c r="A45" s="276" t="s">
        <v>340</v>
      </c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94"/>
      <c r="M45" s="294"/>
      <c r="N45" s="273" t="s">
        <v>341</v>
      </c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7"/>
      <c r="Z45" s="277"/>
      <c r="AA45" s="298"/>
      <c r="AB45" s="271" t="s">
        <v>342</v>
      </c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7"/>
      <c r="AS45" s="277"/>
      <c r="AT45" s="0"/>
      <c r="AU45" s="286" t="s">
        <v>343</v>
      </c>
      <c r="AV45" s="286"/>
      <c r="AW45" s="286"/>
      <c r="AX45" s="286"/>
      <c r="AY45" s="286"/>
      <c r="AZ45" s="286"/>
      <c r="BA45" s="294"/>
      <c r="BB45" s="294"/>
      <c r="BC45" s="306" t="s">
        <v>344</v>
      </c>
      <c r="BD45" s="306"/>
      <c r="BE45" s="306"/>
      <c r="BF45" s="306"/>
      <c r="BG45" s="306"/>
      <c r="BH45" s="306"/>
      <c r="BI45" s="306"/>
      <c r="BJ45" s="306"/>
      <c r="BK45" s="306"/>
      <c r="BL45" s="294"/>
      <c r="BM45" s="294"/>
      <c r="BN45" s="306" t="s">
        <v>345</v>
      </c>
      <c r="BO45" s="306"/>
      <c r="BP45" s="306"/>
      <c r="BQ45" s="306"/>
      <c r="BR45" s="306"/>
      <c r="BS45" s="306"/>
      <c r="BT45" s="306"/>
      <c r="BU45" s="300"/>
      <c r="BV45" s="300"/>
    </row>
    <row r="46" customFormat="false" ht="12.75" hidden="false" customHeight="true" outlineLevel="0" collapsed="false">
      <c r="A46" s="276" t="s">
        <v>346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94"/>
      <c r="M46" s="294"/>
      <c r="N46" s="273" t="s">
        <v>347</v>
      </c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7"/>
      <c r="Z46" s="277"/>
      <c r="AA46" s="298"/>
      <c r="AB46" s="271" t="s">
        <v>348</v>
      </c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7"/>
      <c r="AS46" s="277"/>
      <c r="AT46" s="0"/>
      <c r="AU46" s="286" t="s">
        <v>349</v>
      </c>
      <c r="AV46" s="286"/>
      <c r="AW46" s="286"/>
      <c r="AX46" s="286"/>
      <c r="AY46" s="286"/>
      <c r="AZ46" s="286"/>
      <c r="BA46" s="294"/>
      <c r="BB46" s="294"/>
      <c r="BC46" s="306" t="s">
        <v>350</v>
      </c>
      <c r="BD46" s="306"/>
      <c r="BE46" s="306"/>
      <c r="BF46" s="306"/>
      <c r="BG46" s="306"/>
      <c r="BH46" s="306"/>
      <c r="BI46" s="306"/>
      <c r="BJ46" s="306"/>
      <c r="BK46" s="306"/>
      <c r="BL46" s="294"/>
      <c r="BM46" s="294"/>
      <c r="BN46" s="306" t="s">
        <v>351</v>
      </c>
      <c r="BO46" s="306"/>
      <c r="BP46" s="306"/>
      <c r="BQ46" s="306"/>
      <c r="BR46" s="306"/>
      <c r="BS46" s="306"/>
      <c r="BT46" s="306"/>
      <c r="BU46" s="300"/>
      <c r="BV46" s="300"/>
    </row>
    <row r="47" customFormat="false" ht="12.75" hidden="false" customHeight="true" outlineLevel="0" collapsed="false">
      <c r="A47" s="276" t="s">
        <v>352</v>
      </c>
      <c r="B47" s="276"/>
      <c r="C47" s="276"/>
      <c r="D47" s="276"/>
      <c r="E47" s="276"/>
      <c r="F47" s="276"/>
      <c r="G47" s="276"/>
      <c r="H47" s="276"/>
      <c r="I47" s="276"/>
      <c r="J47" s="276"/>
      <c r="K47" s="276"/>
      <c r="L47" s="294"/>
      <c r="M47" s="294"/>
      <c r="N47" s="273" t="s">
        <v>353</v>
      </c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7"/>
      <c r="Z47" s="277"/>
      <c r="AA47" s="307"/>
      <c r="AB47" s="271" t="s">
        <v>354</v>
      </c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7"/>
      <c r="AS47" s="277"/>
      <c r="AT47" s="0"/>
      <c r="AU47" s="286" t="s">
        <v>355</v>
      </c>
      <c r="AV47" s="286"/>
      <c r="AW47" s="286"/>
      <c r="AX47" s="286"/>
      <c r="AY47" s="286"/>
      <c r="AZ47" s="286"/>
      <c r="BA47" s="294"/>
      <c r="BB47" s="294"/>
      <c r="BC47" s="306" t="s">
        <v>356</v>
      </c>
      <c r="BD47" s="306"/>
      <c r="BE47" s="306"/>
      <c r="BF47" s="306"/>
      <c r="BG47" s="306"/>
      <c r="BH47" s="306"/>
      <c r="BI47" s="306"/>
      <c r="BJ47" s="306"/>
      <c r="BK47" s="306"/>
      <c r="BL47" s="294"/>
      <c r="BM47" s="294"/>
      <c r="BN47" s="306" t="s">
        <v>357</v>
      </c>
      <c r="BO47" s="306"/>
      <c r="BP47" s="306"/>
      <c r="BQ47" s="306"/>
      <c r="BR47" s="306"/>
      <c r="BS47" s="306"/>
      <c r="BT47" s="306"/>
      <c r="BU47" s="300"/>
      <c r="BV47" s="300"/>
    </row>
    <row r="48" customFormat="false" ht="12.75" hidden="false" customHeight="true" outlineLevel="0" collapsed="false">
      <c r="A48" s="276" t="s">
        <v>358</v>
      </c>
      <c r="B48" s="276"/>
      <c r="C48" s="276"/>
      <c r="D48" s="276"/>
      <c r="E48" s="276"/>
      <c r="F48" s="276"/>
      <c r="G48" s="276"/>
      <c r="H48" s="276"/>
      <c r="I48" s="276"/>
      <c r="J48" s="276"/>
      <c r="K48" s="276"/>
      <c r="L48" s="294"/>
      <c r="M48" s="294"/>
      <c r="N48" s="273" t="s">
        <v>359</v>
      </c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7"/>
      <c r="Z48" s="277"/>
      <c r="AA48" s="307"/>
      <c r="AB48" s="271" t="s">
        <v>360</v>
      </c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7"/>
      <c r="AS48" s="277"/>
      <c r="AT48" s="0"/>
      <c r="AU48" s="286" t="s">
        <v>361</v>
      </c>
      <c r="AV48" s="286"/>
      <c r="AW48" s="286"/>
      <c r="AX48" s="286"/>
      <c r="AY48" s="286"/>
      <c r="AZ48" s="286"/>
      <c r="BA48" s="294"/>
      <c r="BB48" s="294"/>
      <c r="BC48" s="306" t="s">
        <v>362</v>
      </c>
      <c r="BD48" s="306"/>
      <c r="BE48" s="306"/>
      <c r="BF48" s="306"/>
      <c r="BG48" s="306"/>
      <c r="BH48" s="306"/>
      <c r="BI48" s="306"/>
      <c r="BJ48" s="306"/>
      <c r="BK48" s="306"/>
      <c r="BL48" s="294"/>
      <c r="BM48" s="294"/>
      <c r="BN48" s="308"/>
      <c r="BO48" s="308"/>
      <c r="BP48" s="308"/>
      <c r="BQ48" s="308"/>
      <c r="BR48" s="308"/>
      <c r="BS48" s="308"/>
      <c r="BT48" s="308"/>
      <c r="BU48" s="300"/>
      <c r="BV48" s="300"/>
    </row>
    <row r="49" customFormat="false" ht="12.75" hidden="false" customHeight="true" outlineLevel="0" collapsed="false">
      <c r="A49" s="276" t="s">
        <v>363</v>
      </c>
      <c r="B49" s="276"/>
      <c r="C49" s="276"/>
      <c r="D49" s="276"/>
      <c r="E49" s="276"/>
      <c r="F49" s="276"/>
      <c r="G49" s="276"/>
      <c r="H49" s="276"/>
      <c r="I49" s="276"/>
      <c r="J49" s="276"/>
      <c r="K49" s="276"/>
      <c r="L49" s="294"/>
      <c r="M49" s="294"/>
      <c r="N49" s="273" t="s">
        <v>364</v>
      </c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7"/>
      <c r="Z49" s="277"/>
      <c r="AA49" s="307"/>
      <c r="AB49" s="271" t="s">
        <v>365</v>
      </c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7"/>
      <c r="AS49" s="277"/>
      <c r="AT49" s="0"/>
      <c r="AU49" s="286" t="s">
        <v>366</v>
      </c>
      <c r="AV49" s="286"/>
      <c r="AW49" s="286"/>
      <c r="AX49" s="286"/>
      <c r="AY49" s="286"/>
      <c r="AZ49" s="286"/>
      <c r="BA49" s="294"/>
      <c r="BB49" s="294"/>
      <c r="BC49" s="306" t="s">
        <v>367</v>
      </c>
      <c r="BD49" s="306"/>
      <c r="BE49" s="306"/>
      <c r="BF49" s="306"/>
      <c r="BG49" s="306"/>
      <c r="BH49" s="306"/>
      <c r="BI49" s="306"/>
      <c r="BJ49" s="306"/>
      <c r="BK49" s="306"/>
      <c r="BL49" s="294"/>
      <c r="BM49" s="294"/>
      <c r="BN49" s="308"/>
      <c r="BO49" s="308"/>
      <c r="BP49" s="308"/>
      <c r="BQ49" s="308"/>
      <c r="BR49" s="308"/>
      <c r="BS49" s="308"/>
      <c r="BT49" s="308"/>
      <c r="BU49" s="300"/>
      <c r="BV49" s="300"/>
    </row>
    <row r="50" customFormat="false" ht="13.5" hidden="false" customHeight="true" outlineLevel="0" collapsed="false">
      <c r="A50" s="276" t="s">
        <v>368</v>
      </c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94"/>
      <c r="M50" s="294"/>
      <c r="N50" s="273" t="s">
        <v>369</v>
      </c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7"/>
      <c r="Z50" s="277"/>
      <c r="AA50" s="307"/>
      <c r="AB50" s="271" t="s">
        <v>370</v>
      </c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7"/>
      <c r="AS50" s="277"/>
      <c r="AT50" s="0"/>
      <c r="AU50" s="309" t="s">
        <v>371</v>
      </c>
      <c r="AV50" s="309"/>
      <c r="AW50" s="309"/>
      <c r="AX50" s="309"/>
      <c r="AY50" s="309"/>
      <c r="AZ50" s="309"/>
      <c r="BA50" s="302"/>
      <c r="BB50" s="302"/>
      <c r="BC50" s="310" t="s">
        <v>372</v>
      </c>
      <c r="BD50" s="310"/>
      <c r="BE50" s="310"/>
      <c r="BF50" s="310"/>
      <c r="BG50" s="310"/>
      <c r="BH50" s="310"/>
      <c r="BI50" s="310"/>
      <c r="BJ50" s="310"/>
      <c r="BK50" s="310"/>
      <c r="BL50" s="302"/>
      <c r="BM50" s="302"/>
      <c r="BN50" s="311"/>
      <c r="BO50" s="311"/>
      <c r="BP50" s="311"/>
      <c r="BQ50" s="311"/>
      <c r="BR50" s="311"/>
      <c r="BS50" s="311"/>
      <c r="BT50" s="311"/>
      <c r="BU50" s="304"/>
      <c r="BV50" s="304"/>
    </row>
    <row r="51" customFormat="false" ht="13.5" hidden="false" customHeight="true" outlineLevel="0" collapsed="false">
      <c r="A51" s="276" t="s">
        <v>373</v>
      </c>
      <c r="B51" s="276"/>
      <c r="C51" s="276"/>
      <c r="D51" s="276"/>
      <c r="E51" s="276"/>
      <c r="F51" s="276"/>
      <c r="G51" s="276"/>
      <c r="H51" s="276"/>
      <c r="I51" s="276"/>
      <c r="J51" s="276"/>
      <c r="K51" s="276"/>
      <c r="L51" s="294"/>
      <c r="M51" s="294"/>
      <c r="N51" s="273" t="s">
        <v>374</v>
      </c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7"/>
      <c r="Z51" s="277"/>
      <c r="AA51" s="307"/>
      <c r="AB51" s="271" t="s">
        <v>375</v>
      </c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7"/>
      <c r="AS51" s="277"/>
      <c r="AT51" s="0"/>
    </row>
    <row r="52" customFormat="false" ht="12.75" hidden="false" customHeight="true" outlineLevel="0" collapsed="false">
      <c r="A52" s="276" t="s">
        <v>376</v>
      </c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94"/>
      <c r="M52" s="294"/>
      <c r="N52" s="273" t="s">
        <v>377</v>
      </c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7"/>
      <c r="Z52" s="277"/>
      <c r="AA52" s="307"/>
      <c r="AB52" s="271" t="s">
        <v>378</v>
      </c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7"/>
      <c r="AS52" s="277"/>
      <c r="AT52" s="0"/>
      <c r="AU52" s="293" t="s">
        <v>379</v>
      </c>
      <c r="AV52" s="293"/>
      <c r="AW52" s="293"/>
      <c r="AX52" s="293"/>
      <c r="AY52" s="293"/>
      <c r="AZ52" s="293"/>
      <c r="BA52" s="293"/>
      <c r="BB52" s="293"/>
      <c r="BC52" s="293"/>
      <c r="BD52" s="293"/>
      <c r="BE52" s="293"/>
      <c r="BF52" s="293"/>
      <c r="BG52" s="293"/>
      <c r="BH52" s="293"/>
      <c r="BI52" s="293"/>
      <c r="BJ52" s="293"/>
      <c r="BK52" s="293"/>
      <c r="BL52" s="293"/>
      <c r="BM52" s="293"/>
      <c r="BN52" s="293"/>
      <c r="BO52" s="293"/>
      <c r="BP52" s="293"/>
      <c r="BQ52" s="293"/>
      <c r="BR52" s="293"/>
      <c r="BS52" s="293"/>
      <c r="BT52" s="293"/>
      <c r="BU52" s="293"/>
      <c r="BV52" s="293"/>
    </row>
    <row r="53" customFormat="false" ht="12.75" hidden="false" customHeight="true" outlineLevel="0" collapsed="false">
      <c r="A53" s="276" t="s">
        <v>281</v>
      </c>
      <c r="B53" s="276"/>
      <c r="C53" s="276"/>
      <c r="D53" s="276"/>
      <c r="E53" s="276"/>
      <c r="F53" s="276"/>
      <c r="G53" s="276"/>
      <c r="H53" s="276"/>
      <c r="I53" s="276"/>
      <c r="J53" s="276"/>
      <c r="K53" s="276"/>
      <c r="L53" s="294"/>
      <c r="M53" s="294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7"/>
      <c r="Z53" s="277"/>
      <c r="AA53" s="307"/>
      <c r="AB53" s="271" t="s">
        <v>380</v>
      </c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7"/>
      <c r="AS53" s="277"/>
      <c r="AT53" s="0"/>
      <c r="AU53" s="286" t="s">
        <v>381</v>
      </c>
      <c r="AV53" s="286"/>
      <c r="AW53" s="286"/>
      <c r="AX53" s="286"/>
      <c r="AY53" s="286"/>
      <c r="AZ53" s="286"/>
      <c r="BA53" s="286"/>
      <c r="BB53" s="286"/>
      <c r="BC53" s="286"/>
      <c r="BD53" s="286"/>
      <c r="BE53" s="312"/>
      <c r="BF53" s="312"/>
      <c r="BG53" s="306" t="s">
        <v>382</v>
      </c>
      <c r="BH53" s="306"/>
      <c r="BI53" s="306"/>
      <c r="BJ53" s="306"/>
      <c r="BK53" s="306"/>
      <c r="BL53" s="306"/>
      <c r="BM53" s="313"/>
      <c r="BN53" s="313"/>
      <c r="BO53" s="314"/>
      <c r="BP53" s="314"/>
      <c r="BQ53" s="314"/>
      <c r="BR53" s="314"/>
      <c r="BS53" s="314"/>
      <c r="BT53" s="314"/>
      <c r="BU53" s="315"/>
      <c r="BV53" s="315"/>
    </row>
    <row r="54" customFormat="false" ht="12.75" hidden="false" customHeight="true" outlineLevel="0" collapsed="false">
      <c r="A54" s="276" t="s">
        <v>383</v>
      </c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94"/>
      <c r="M54" s="294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7"/>
      <c r="Z54" s="277"/>
      <c r="AA54" s="307"/>
      <c r="AB54" s="271" t="s">
        <v>384</v>
      </c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7"/>
      <c r="AS54" s="277"/>
      <c r="AT54" s="0"/>
      <c r="AU54" s="286" t="s">
        <v>385</v>
      </c>
      <c r="AV54" s="286"/>
      <c r="AW54" s="286"/>
      <c r="AX54" s="286"/>
      <c r="AY54" s="286"/>
      <c r="AZ54" s="286"/>
      <c r="BA54" s="286"/>
      <c r="BB54" s="286"/>
      <c r="BC54" s="286"/>
      <c r="BD54" s="286"/>
      <c r="BE54" s="312"/>
      <c r="BF54" s="312"/>
      <c r="BG54" s="306" t="s">
        <v>386</v>
      </c>
      <c r="BH54" s="306"/>
      <c r="BI54" s="306"/>
      <c r="BJ54" s="306"/>
      <c r="BK54" s="306"/>
      <c r="BL54" s="306"/>
      <c r="BM54" s="313"/>
      <c r="BN54" s="313"/>
      <c r="BO54" s="316"/>
      <c r="BP54" s="316"/>
      <c r="BQ54" s="316"/>
      <c r="BR54" s="316"/>
      <c r="BS54" s="316"/>
      <c r="BT54" s="316"/>
      <c r="BU54" s="315"/>
      <c r="BV54" s="315"/>
    </row>
    <row r="55" customFormat="false" ht="13.5" hidden="false" customHeight="true" outlineLevel="0" collapsed="false">
      <c r="A55" s="301" t="s">
        <v>387</v>
      </c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2"/>
      <c r="M55" s="302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Y55" s="317"/>
      <c r="Z55" s="317"/>
      <c r="AA55" s="307"/>
      <c r="AB55" s="271" t="s">
        <v>388</v>
      </c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7"/>
      <c r="AS55" s="277"/>
      <c r="AT55" s="0"/>
      <c r="AU55" s="309" t="s">
        <v>389</v>
      </c>
      <c r="AV55" s="309"/>
      <c r="AW55" s="309"/>
      <c r="AX55" s="309"/>
      <c r="AY55" s="309"/>
      <c r="AZ55" s="309"/>
      <c r="BA55" s="309"/>
      <c r="BB55" s="309"/>
      <c r="BC55" s="309"/>
      <c r="BD55" s="309"/>
      <c r="BE55" s="318"/>
      <c r="BF55" s="318"/>
      <c r="BG55" s="311" t="s">
        <v>390</v>
      </c>
      <c r="BH55" s="311"/>
      <c r="BI55" s="311"/>
      <c r="BJ55" s="311"/>
      <c r="BK55" s="311"/>
      <c r="BL55" s="311"/>
      <c r="BM55" s="319"/>
      <c r="BN55" s="319"/>
      <c r="BO55" s="320"/>
      <c r="BP55" s="320"/>
      <c r="BQ55" s="320"/>
      <c r="BR55" s="320"/>
      <c r="BS55" s="320"/>
      <c r="BT55" s="320"/>
      <c r="BU55" s="292"/>
      <c r="BV55" s="292"/>
    </row>
    <row r="56" customFormat="false" ht="13.5" hidden="false" customHeight="true" outlineLevel="0" collapsed="false">
      <c r="AA56" s="321"/>
      <c r="AB56" s="322" t="s">
        <v>391</v>
      </c>
      <c r="AC56" s="322"/>
      <c r="AD56" s="322"/>
      <c r="AE56" s="322"/>
      <c r="AF56" s="322"/>
      <c r="AG56" s="322"/>
      <c r="AH56" s="322"/>
      <c r="AI56" s="322"/>
      <c r="AJ56" s="322"/>
      <c r="AK56" s="322"/>
      <c r="AL56" s="322"/>
      <c r="AM56" s="322"/>
      <c r="AN56" s="322"/>
      <c r="AO56" s="322"/>
      <c r="AP56" s="322"/>
      <c r="AQ56" s="322"/>
      <c r="AR56" s="300" t="s">
        <v>44</v>
      </c>
      <c r="AS56" s="300"/>
      <c r="AT56" s="0"/>
    </row>
    <row r="57" customFormat="false" ht="12.75" hidden="false" customHeight="true" outlineLevel="0" collapsed="false">
      <c r="A57" s="293" t="s">
        <v>392</v>
      </c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307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  <c r="AR57" s="300"/>
      <c r="AS57" s="300"/>
      <c r="AT57" s="0"/>
      <c r="AU57" s="293" t="s">
        <v>393</v>
      </c>
      <c r="AV57" s="293"/>
      <c r="AW57" s="293"/>
      <c r="AX57" s="293"/>
      <c r="AY57" s="293"/>
      <c r="AZ57" s="293"/>
      <c r="BA57" s="293"/>
      <c r="BB57" s="293"/>
      <c r="BC57" s="293"/>
      <c r="BD57" s="293"/>
      <c r="BE57" s="293"/>
      <c r="BF57" s="293"/>
      <c r="BG57" s="293"/>
      <c r="BH57" s="293"/>
      <c r="BI57" s="293"/>
      <c r="BJ57" s="293"/>
      <c r="BK57" s="293"/>
      <c r="BL57" s="293"/>
      <c r="BM57" s="293"/>
      <c r="BN57" s="293"/>
      <c r="BO57" s="293"/>
      <c r="BP57" s="293"/>
      <c r="BQ57" s="293"/>
      <c r="BR57" s="293"/>
      <c r="BS57" s="293"/>
      <c r="BT57" s="293"/>
      <c r="BU57" s="293"/>
      <c r="BV57" s="293"/>
    </row>
    <row r="58" customFormat="false" ht="13.5" hidden="false" customHeight="true" outlineLevel="0" collapsed="false">
      <c r="A58" s="276" t="s">
        <v>270</v>
      </c>
      <c r="B58" s="276"/>
      <c r="C58" s="276"/>
      <c r="D58" s="276"/>
      <c r="E58" s="276"/>
      <c r="F58" s="276"/>
      <c r="G58" s="276"/>
      <c r="H58" s="276"/>
      <c r="I58" s="276"/>
      <c r="J58" s="276"/>
      <c r="K58" s="276"/>
      <c r="L58" s="294"/>
      <c r="M58" s="294"/>
      <c r="N58" s="273" t="s">
        <v>394</v>
      </c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300"/>
      <c r="Z58" s="300"/>
      <c r="AA58" s="307"/>
      <c r="AB58" s="323"/>
      <c r="AC58" s="323"/>
      <c r="AD58" s="323"/>
      <c r="AE58" s="323"/>
      <c r="AF58" s="323"/>
      <c r="AG58" s="323"/>
      <c r="AH58" s="323"/>
      <c r="AI58" s="323"/>
      <c r="AJ58" s="323"/>
      <c r="AK58" s="323"/>
      <c r="AL58" s="323"/>
      <c r="AM58" s="323"/>
      <c r="AN58" s="323"/>
      <c r="AO58" s="323"/>
      <c r="AP58" s="323"/>
      <c r="AQ58" s="323"/>
      <c r="AR58" s="304"/>
      <c r="AS58" s="304"/>
      <c r="AT58" s="0"/>
      <c r="AU58" s="276" t="s">
        <v>395</v>
      </c>
      <c r="AV58" s="276"/>
      <c r="AW58" s="276"/>
      <c r="AX58" s="276"/>
      <c r="AY58" s="276"/>
      <c r="AZ58" s="276"/>
      <c r="BA58" s="276"/>
      <c r="BB58" s="276"/>
      <c r="BC58" s="276"/>
      <c r="BD58" s="276"/>
      <c r="BE58" s="276"/>
      <c r="BF58" s="276"/>
      <c r="BG58" s="276"/>
      <c r="BH58" s="276"/>
      <c r="BI58" s="324"/>
      <c r="BJ58" s="324"/>
      <c r="BK58" s="273"/>
      <c r="BL58" s="273"/>
      <c r="BM58" s="273"/>
      <c r="BN58" s="273"/>
      <c r="BO58" s="273"/>
      <c r="BP58" s="273"/>
      <c r="BQ58" s="273"/>
      <c r="BR58" s="273"/>
      <c r="BS58" s="273"/>
      <c r="BT58" s="273"/>
      <c r="BU58" s="325"/>
      <c r="BV58" s="325"/>
    </row>
    <row r="59" customFormat="false" ht="13.5" hidden="false" customHeight="true" outlineLevel="0" collapsed="false">
      <c r="A59" s="276" t="s">
        <v>396</v>
      </c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94"/>
      <c r="M59" s="294"/>
      <c r="N59" s="273" t="s">
        <v>397</v>
      </c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300"/>
      <c r="Z59" s="300"/>
      <c r="AA59" s="307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  <c r="AO59" s="326"/>
      <c r="AP59" s="326"/>
      <c r="AQ59" s="326"/>
      <c r="AR59" s="326"/>
      <c r="AS59" s="326"/>
      <c r="AT59" s="0"/>
      <c r="AU59" s="276" t="s">
        <v>398</v>
      </c>
      <c r="AV59" s="276"/>
      <c r="AW59" s="276"/>
      <c r="AX59" s="276"/>
      <c r="AY59" s="276"/>
      <c r="AZ59" s="276"/>
      <c r="BA59" s="276"/>
      <c r="BB59" s="276"/>
      <c r="BC59" s="276"/>
      <c r="BD59" s="276"/>
      <c r="BE59" s="276"/>
      <c r="BF59" s="276"/>
      <c r="BG59" s="276"/>
      <c r="BH59" s="276"/>
      <c r="BI59" s="324"/>
      <c r="BJ59" s="324"/>
      <c r="BK59" s="273" t="s">
        <v>399</v>
      </c>
      <c r="BL59" s="273"/>
      <c r="BM59" s="273"/>
      <c r="BN59" s="273"/>
      <c r="BO59" s="273"/>
      <c r="BP59" s="273"/>
      <c r="BQ59" s="273"/>
      <c r="BR59" s="273"/>
      <c r="BS59" s="273"/>
      <c r="BT59" s="273"/>
      <c r="BU59" s="325"/>
      <c r="BV59" s="325"/>
    </row>
    <row r="60" customFormat="false" ht="12.75" hidden="false" customHeight="true" outlineLevel="0" collapsed="false">
      <c r="A60" s="276" t="s">
        <v>400</v>
      </c>
      <c r="B60" s="276"/>
      <c r="C60" s="276"/>
      <c r="D60" s="276"/>
      <c r="E60" s="276"/>
      <c r="F60" s="276"/>
      <c r="G60" s="276"/>
      <c r="H60" s="276"/>
      <c r="I60" s="276"/>
      <c r="J60" s="276"/>
      <c r="K60" s="276"/>
      <c r="L60" s="294"/>
      <c r="M60" s="294"/>
      <c r="N60" s="273" t="s">
        <v>401</v>
      </c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300"/>
      <c r="Z60" s="300"/>
      <c r="AA60" s="307"/>
      <c r="AB60" s="293" t="s">
        <v>402</v>
      </c>
      <c r="AC60" s="293"/>
      <c r="AD60" s="293"/>
      <c r="AE60" s="293"/>
      <c r="AF60" s="293"/>
      <c r="AG60" s="293"/>
      <c r="AH60" s="293"/>
      <c r="AI60" s="293"/>
      <c r="AJ60" s="293"/>
      <c r="AK60" s="293"/>
      <c r="AL60" s="293"/>
      <c r="AM60" s="293"/>
      <c r="AN60" s="293"/>
      <c r="AO60" s="293"/>
      <c r="AP60" s="293"/>
      <c r="AQ60" s="293"/>
      <c r="AR60" s="293"/>
      <c r="AS60" s="293"/>
      <c r="AT60" s="0"/>
      <c r="AU60" s="276" t="s">
        <v>403</v>
      </c>
      <c r="AV60" s="276"/>
      <c r="AW60" s="276"/>
      <c r="AX60" s="276"/>
      <c r="AY60" s="276"/>
      <c r="AZ60" s="276"/>
      <c r="BA60" s="276"/>
      <c r="BB60" s="276"/>
      <c r="BC60" s="276"/>
      <c r="BD60" s="276"/>
      <c r="BE60" s="276"/>
      <c r="BF60" s="276"/>
      <c r="BG60" s="276"/>
      <c r="BH60" s="276"/>
      <c r="BI60" s="324"/>
      <c r="BJ60" s="324"/>
      <c r="BK60" s="273" t="s">
        <v>404</v>
      </c>
      <c r="BL60" s="273"/>
      <c r="BM60" s="273"/>
      <c r="BN60" s="273"/>
      <c r="BO60" s="273"/>
      <c r="BP60" s="273"/>
      <c r="BQ60" s="273"/>
      <c r="BR60" s="273"/>
      <c r="BS60" s="273"/>
      <c r="BT60" s="273"/>
      <c r="BU60" s="325"/>
      <c r="BV60" s="325"/>
    </row>
    <row r="61" customFormat="false" ht="13.5" hidden="false" customHeight="true" outlineLevel="0" collapsed="false">
      <c r="A61" s="301" t="s">
        <v>405</v>
      </c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2"/>
      <c r="M61" s="302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292"/>
      <c r="Z61" s="292"/>
      <c r="AA61" s="307"/>
      <c r="AB61" s="286" t="s">
        <v>406</v>
      </c>
      <c r="AC61" s="286"/>
      <c r="AD61" s="286"/>
      <c r="AE61" s="286"/>
      <c r="AF61" s="286"/>
      <c r="AG61" s="286"/>
      <c r="AH61" s="286"/>
      <c r="AI61" s="327"/>
      <c r="AJ61" s="327"/>
      <c r="AK61" s="306" t="s">
        <v>407</v>
      </c>
      <c r="AL61" s="306"/>
      <c r="AM61" s="306"/>
      <c r="AN61" s="306"/>
      <c r="AO61" s="306"/>
      <c r="AP61" s="306"/>
      <c r="AQ61" s="306"/>
      <c r="AR61" s="328"/>
      <c r="AS61" s="328"/>
      <c r="AT61" s="0"/>
      <c r="AU61" s="276" t="s">
        <v>408</v>
      </c>
      <c r="AV61" s="276"/>
      <c r="AW61" s="276"/>
      <c r="AX61" s="276"/>
      <c r="AY61" s="276"/>
      <c r="AZ61" s="276"/>
      <c r="BA61" s="276"/>
      <c r="BB61" s="276"/>
      <c r="BC61" s="276"/>
      <c r="BD61" s="276"/>
      <c r="BE61" s="276"/>
      <c r="BF61" s="276"/>
      <c r="BG61" s="276"/>
      <c r="BH61" s="276"/>
      <c r="BI61" s="324"/>
      <c r="BJ61" s="324"/>
      <c r="BK61" s="273" t="s">
        <v>409</v>
      </c>
      <c r="BL61" s="273"/>
      <c r="BM61" s="273"/>
      <c r="BN61" s="273"/>
      <c r="BO61" s="273"/>
      <c r="BP61" s="273"/>
      <c r="BQ61" s="273"/>
      <c r="BR61" s="273"/>
      <c r="BS61" s="273"/>
      <c r="BT61" s="273"/>
      <c r="BU61" s="325"/>
      <c r="BV61" s="325"/>
    </row>
    <row r="62" customFormat="false" ht="13.5" hidden="false" customHeight="true" outlineLevel="0" collapsed="false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8"/>
      <c r="M62" s="288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8"/>
      <c r="Z62" s="288"/>
      <c r="AA62" s="307"/>
      <c r="AB62" s="286" t="s">
        <v>410</v>
      </c>
      <c r="AC62" s="286"/>
      <c r="AD62" s="286"/>
      <c r="AE62" s="286"/>
      <c r="AF62" s="286"/>
      <c r="AG62" s="286"/>
      <c r="AH62" s="286"/>
      <c r="AI62" s="324"/>
      <c r="AJ62" s="324"/>
      <c r="AK62" s="306"/>
      <c r="AL62" s="306"/>
      <c r="AM62" s="306"/>
      <c r="AN62" s="306"/>
      <c r="AO62" s="306"/>
      <c r="AP62" s="306"/>
      <c r="AQ62" s="306"/>
      <c r="AR62" s="325"/>
      <c r="AS62" s="325"/>
      <c r="AT62" s="0"/>
      <c r="AU62" s="301" t="s">
        <v>411</v>
      </c>
      <c r="AV62" s="301"/>
      <c r="AW62" s="301"/>
      <c r="AX62" s="301"/>
      <c r="AY62" s="301"/>
      <c r="AZ62" s="301"/>
      <c r="BA62" s="301"/>
      <c r="BB62" s="301"/>
      <c r="BC62" s="301"/>
      <c r="BD62" s="301"/>
      <c r="BE62" s="301"/>
      <c r="BF62" s="301"/>
      <c r="BG62" s="301"/>
      <c r="BH62" s="301"/>
      <c r="BI62" s="329"/>
      <c r="BJ62" s="329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30"/>
      <c r="BV62" s="330"/>
    </row>
    <row r="63" customFormat="false" ht="13.5" hidden="false" customHeight="true" outlineLevel="0" collapsed="false">
      <c r="A63" s="293" t="s">
        <v>412</v>
      </c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331"/>
      <c r="AB63" s="309" t="s">
        <v>413</v>
      </c>
      <c r="AC63" s="309"/>
      <c r="AD63" s="309"/>
      <c r="AE63" s="309"/>
      <c r="AF63" s="309"/>
      <c r="AG63" s="309"/>
      <c r="AH63" s="309"/>
      <c r="AI63" s="329"/>
      <c r="AJ63" s="329"/>
      <c r="AK63" s="310"/>
      <c r="AL63" s="310"/>
      <c r="AM63" s="310"/>
      <c r="AN63" s="310"/>
      <c r="AO63" s="310"/>
      <c r="AP63" s="310"/>
      <c r="AQ63" s="310"/>
      <c r="AR63" s="330"/>
      <c r="AS63" s="330"/>
      <c r="AT63" s="0"/>
    </row>
    <row r="64" customFormat="false" ht="13.5" hidden="false" customHeight="true" outlineLevel="0" collapsed="false">
      <c r="A64" s="271" t="s">
        <v>414</v>
      </c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2"/>
      <c r="M64" s="272"/>
      <c r="N64" s="279" t="s">
        <v>415</v>
      </c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80"/>
      <c r="Z64" s="280"/>
      <c r="AA64" s="332"/>
      <c r="AT64" s="0"/>
      <c r="AU64" s="293" t="s">
        <v>416</v>
      </c>
      <c r="AV64" s="293"/>
      <c r="AW64" s="293"/>
      <c r="AX64" s="293"/>
      <c r="AY64" s="293"/>
      <c r="AZ64" s="293"/>
      <c r="BA64" s="293"/>
      <c r="BB64" s="293"/>
      <c r="BC64" s="293"/>
      <c r="BD64" s="293"/>
      <c r="BE64" s="293"/>
      <c r="BF64" s="293"/>
      <c r="BG64" s="293"/>
      <c r="BH64" s="293"/>
      <c r="BI64" s="293"/>
      <c r="BJ64" s="293"/>
      <c r="BK64" s="293"/>
      <c r="BL64" s="293"/>
      <c r="BM64" s="293"/>
      <c r="BN64" s="293"/>
      <c r="BO64" s="293"/>
      <c r="BP64" s="293"/>
      <c r="BQ64" s="293"/>
      <c r="BR64" s="293"/>
      <c r="BS64" s="293"/>
      <c r="BT64" s="293"/>
      <c r="BU64" s="293"/>
      <c r="BV64" s="293"/>
    </row>
    <row r="65" customFormat="false" ht="12.75" hidden="false" customHeight="true" outlineLevel="0" collapsed="false">
      <c r="A65" s="271" t="s">
        <v>417</v>
      </c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2"/>
      <c r="M65" s="272"/>
      <c r="N65" s="279" t="s">
        <v>418</v>
      </c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80" t="s">
        <v>44</v>
      </c>
      <c r="Z65" s="280"/>
      <c r="AA65" s="289"/>
      <c r="AB65" s="305" t="s">
        <v>419</v>
      </c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M65" s="305"/>
      <c r="AN65" s="305"/>
      <c r="AO65" s="305"/>
      <c r="AP65" s="305"/>
      <c r="AQ65" s="305"/>
      <c r="AR65" s="305"/>
      <c r="AS65" s="305"/>
      <c r="AT65" s="0"/>
      <c r="AU65" s="276" t="s">
        <v>420</v>
      </c>
      <c r="AV65" s="276"/>
      <c r="AW65" s="276"/>
      <c r="AX65" s="276"/>
      <c r="AY65" s="276"/>
      <c r="AZ65" s="276"/>
      <c r="BA65" s="276"/>
      <c r="BB65" s="276"/>
      <c r="BC65" s="276"/>
      <c r="BD65" s="276"/>
      <c r="BE65" s="276"/>
      <c r="BF65" s="276"/>
      <c r="BG65" s="276"/>
      <c r="BH65" s="276"/>
      <c r="BI65" s="324"/>
      <c r="BJ65" s="324"/>
      <c r="BK65" s="273" t="s">
        <v>421</v>
      </c>
      <c r="BL65" s="273"/>
      <c r="BM65" s="273"/>
      <c r="BN65" s="273"/>
      <c r="BO65" s="273"/>
      <c r="BP65" s="273"/>
      <c r="BQ65" s="273"/>
      <c r="BR65" s="273"/>
      <c r="BS65" s="273"/>
      <c r="BT65" s="273"/>
      <c r="BU65" s="325"/>
      <c r="BV65" s="325"/>
    </row>
    <row r="66" customFormat="false" ht="12.75" hidden="false" customHeight="true" outlineLevel="0" collapsed="false">
      <c r="A66" s="271" t="s">
        <v>422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2"/>
      <c r="M66" s="272"/>
      <c r="N66" s="279" t="s">
        <v>423</v>
      </c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80"/>
      <c r="Z66" s="280"/>
      <c r="AA66" s="289"/>
      <c r="AB66" s="286" t="s">
        <v>424</v>
      </c>
      <c r="AC66" s="286"/>
      <c r="AD66" s="286"/>
      <c r="AE66" s="286"/>
      <c r="AF66" s="286"/>
      <c r="AG66" s="286"/>
      <c r="AH66" s="286"/>
      <c r="AI66" s="327"/>
      <c r="AJ66" s="327"/>
      <c r="AK66" s="306" t="s">
        <v>425</v>
      </c>
      <c r="AL66" s="306"/>
      <c r="AM66" s="306"/>
      <c r="AN66" s="306"/>
      <c r="AO66" s="306"/>
      <c r="AP66" s="306"/>
      <c r="AQ66" s="306"/>
      <c r="AR66" s="328"/>
      <c r="AS66" s="328"/>
      <c r="AT66" s="0"/>
      <c r="AU66" s="276" t="s">
        <v>426</v>
      </c>
      <c r="AV66" s="276"/>
      <c r="AW66" s="276"/>
      <c r="AX66" s="276"/>
      <c r="AY66" s="276"/>
      <c r="AZ66" s="276"/>
      <c r="BA66" s="276"/>
      <c r="BB66" s="276"/>
      <c r="BC66" s="276"/>
      <c r="BD66" s="276"/>
      <c r="BE66" s="276"/>
      <c r="BF66" s="276"/>
      <c r="BG66" s="276"/>
      <c r="BH66" s="276"/>
      <c r="BI66" s="324"/>
      <c r="BJ66" s="324"/>
      <c r="BK66" s="273" t="s">
        <v>427</v>
      </c>
      <c r="BL66" s="273"/>
      <c r="BM66" s="273"/>
      <c r="BN66" s="273"/>
      <c r="BO66" s="273"/>
      <c r="BP66" s="273"/>
      <c r="BQ66" s="273"/>
      <c r="BR66" s="273"/>
      <c r="BS66" s="273"/>
      <c r="BT66" s="273"/>
      <c r="BU66" s="325"/>
      <c r="BV66" s="325"/>
    </row>
    <row r="67" customFormat="false" ht="12.75" hidden="false" customHeight="true" outlineLevel="0" collapsed="false">
      <c r="A67" s="271" t="s">
        <v>428</v>
      </c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2"/>
      <c r="M67" s="272"/>
      <c r="N67" s="279" t="s">
        <v>429</v>
      </c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80"/>
      <c r="Z67" s="280"/>
      <c r="AA67" s="289"/>
      <c r="AB67" s="286" t="s">
        <v>430</v>
      </c>
      <c r="AC67" s="286"/>
      <c r="AD67" s="286"/>
      <c r="AE67" s="286"/>
      <c r="AF67" s="286"/>
      <c r="AG67" s="286"/>
      <c r="AH67" s="286"/>
      <c r="AI67" s="327"/>
      <c r="AJ67" s="327"/>
      <c r="AK67" s="306" t="s">
        <v>431</v>
      </c>
      <c r="AL67" s="306"/>
      <c r="AM67" s="306"/>
      <c r="AN67" s="306"/>
      <c r="AO67" s="306"/>
      <c r="AP67" s="306"/>
      <c r="AQ67" s="306"/>
      <c r="AR67" s="328"/>
      <c r="AS67" s="328"/>
      <c r="AT67" s="0"/>
      <c r="AU67" s="276" t="s">
        <v>432</v>
      </c>
      <c r="AV67" s="276"/>
      <c r="AW67" s="276"/>
      <c r="AX67" s="276"/>
      <c r="AY67" s="276"/>
      <c r="AZ67" s="276"/>
      <c r="BA67" s="276"/>
      <c r="BB67" s="276"/>
      <c r="BC67" s="276"/>
      <c r="BD67" s="276"/>
      <c r="BE67" s="276"/>
      <c r="BF67" s="276"/>
      <c r="BG67" s="276"/>
      <c r="BH67" s="276"/>
      <c r="BI67" s="324"/>
      <c r="BJ67" s="324"/>
      <c r="BK67" s="273" t="s">
        <v>433</v>
      </c>
      <c r="BL67" s="273"/>
      <c r="BM67" s="273"/>
      <c r="BN67" s="273"/>
      <c r="BO67" s="273"/>
      <c r="BP67" s="273"/>
      <c r="BQ67" s="273"/>
      <c r="BR67" s="273"/>
      <c r="BS67" s="273"/>
      <c r="BT67" s="273"/>
      <c r="BU67" s="325"/>
      <c r="BV67" s="325"/>
    </row>
    <row r="68" customFormat="false" ht="16.5" hidden="false" customHeight="true" outlineLevel="0" collapsed="false">
      <c r="A68" s="271" t="s">
        <v>434</v>
      </c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2" t="s">
        <v>44</v>
      </c>
      <c r="M68" s="272"/>
      <c r="N68" s="279" t="s">
        <v>435</v>
      </c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80"/>
      <c r="Z68" s="280"/>
      <c r="AA68" s="321"/>
      <c r="AB68" s="286" t="s">
        <v>436</v>
      </c>
      <c r="AC68" s="286"/>
      <c r="AD68" s="286"/>
      <c r="AE68" s="286"/>
      <c r="AF68" s="286"/>
      <c r="AG68" s="286"/>
      <c r="AH68" s="286"/>
      <c r="AI68" s="327"/>
      <c r="AJ68" s="327"/>
      <c r="AK68" s="308" t="s">
        <v>437</v>
      </c>
      <c r="AL68" s="308"/>
      <c r="AM68" s="308"/>
      <c r="AN68" s="308"/>
      <c r="AO68" s="308"/>
      <c r="AP68" s="308"/>
      <c r="AQ68" s="308"/>
      <c r="AR68" s="328"/>
      <c r="AS68" s="328"/>
      <c r="AT68" s="0"/>
      <c r="AU68" s="276" t="s">
        <v>438</v>
      </c>
      <c r="AV68" s="276"/>
      <c r="AW68" s="276"/>
      <c r="AX68" s="276"/>
      <c r="AY68" s="276"/>
      <c r="AZ68" s="276"/>
      <c r="BA68" s="276"/>
      <c r="BB68" s="276"/>
      <c r="BC68" s="276"/>
      <c r="BD68" s="276"/>
      <c r="BE68" s="276"/>
      <c r="BF68" s="276"/>
      <c r="BG68" s="276"/>
      <c r="BH68" s="276"/>
      <c r="BI68" s="324"/>
      <c r="BJ68" s="324"/>
      <c r="BK68" s="273" t="s">
        <v>324</v>
      </c>
      <c r="BL68" s="273"/>
      <c r="BM68" s="273"/>
      <c r="BN68" s="273"/>
      <c r="BO68" s="273"/>
      <c r="BP68" s="273"/>
      <c r="BQ68" s="273"/>
      <c r="BR68" s="273"/>
      <c r="BS68" s="273"/>
      <c r="BT68" s="273"/>
      <c r="BU68" s="325"/>
      <c r="BV68" s="325"/>
    </row>
    <row r="69" customFormat="false" ht="16.5" hidden="false" customHeight="true" outlineLevel="0" collapsed="false">
      <c r="A69" s="271" t="s">
        <v>439</v>
      </c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2"/>
      <c r="M69" s="272"/>
      <c r="N69" s="279" t="s">
        <v>440</v>
      </c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80"/>
      <c r="Z69" s="280"/>
      <c r="AA69" s="321"/>
      <c r="AB69" s="286" t="s">
        <v>441</v>
      </c>
      <c r="AC69" s="286"/>
      <c r="AD69" s="286"/>
      <c r="AE69" s="286"/>
      <c r="AF69" s="286"/>
      <c r="AG69" s="286"/>
      <c r="AH69" s="286"/>
      <c r="AI69" s="327"/>
      <c r="AJ69" s="327"/>
      <c r="AK69" s="308" t="s">
        <v>442</v>
      </c>
      <c r="AL69" s="308"/>
      <c r="AM69" s="308"/>
      <c r="AN69" s="308"/>
      <c r="AO69" s="308"/>
      <c r="AP69" s="308"/>
      <c r="AQ69" s="308"/>
      <c r="AR69" s="328"/>
      <c r="AS69" s="328"/>
      <c r="AT69" s="0"/>
      <c r="AU69" s="276" t="s">
        <v>443</v>
      </c>
      <c r="AV69" s="276"/>
      <c r="AW69" s="276"/>
      <c r="AX69" s="276"/>
      <c r="AY69" s="276"/>
      <c r="AZ69" s="276"/>
      <c r="BA69" s="276"/>
      <c r="BB69" s="276"/>
      <c r="BC69" s="276"/>
      <c r="BD69" s="276"/>
      <c r="BE69" s="276"/>
      <c r="BF69" s="276"/>
      <c r="BG69" s="276"/>
      <c r="BH69" s="276"/>
      <c r="BI69" s="324"/>
      <c r="BJ69" s="324"/>
      <c r="BK69" s="273"/>
      <c r="BL69" s="273"/>
      <c r="BM69" s="273"/>
      <c r="BN69" s="273"/>
      <c r="BO69" s="273"/>
      <c r="BP69" s="273"/>
      <c r="BQ69" s="273"/>
      <c r="BR69" s="273"/>
      <c r="BS69" s="273"/>
      <c r="BT69" s="273"/>
      <c r="BU69" s="325"/>
      <c r="BV69" s="325"/>
    </row>
    <row r="70" customFormat="false" ht="15" hidden="false" customHeight="true" outlineLevel="0" collapsed="false">
      <c r="A70" s="271" t="s">
        <v>444</v>
      </c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2"/>
      <c r="M70" s="272"/>
      <c r="N70" s="279" t="s">
        <v>445</v>
      </c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80"/>
      <c r="Z70" s="280"/>
      <c r="AA70" s="321"/>
      <c r="AB70" s="286" t="s">
        <v>446</v>
      </c>
      <c r="AC70" s="286"/>
      <c r="AD70" s="286"/>
      <c r="AE70" s="286"/>
      <c r="AF70" s="286"/>
      <c r="AG70" s="286"/>
      <c r="AH70" s="286"/>
      <c r="AI70" s="327"/>
      <c r="AJ70" s="327"/>
      <c r="AK70" s="306"/>
      <c r="AL70" s="306"/>
      <c r="AM70" s="306"/>
      <c r="AN70" s="306"/>
      <c r="AO70" s="306"/>
      <c r="AP70" s="306"/>
      <c r="AQ70" s="306"/>
      <c r="AR70" s="328"/>
      <c r="AS70" s="328"/>
      <c r="AT70" s="0"/>
      <c r="AU70" s="276" t="s">
        <v>447</v>
      </c>
      <c r="AV70" s="276"/>
      <c r="AW70" s="276"/>
      <c r="AX70" s="276"/>
      <c r="AY70" s="276"/>
      <c r="AZ70" s="276"/>
      <c r="BA70" s="276"/>
      <c r="BB70" s="276"/>
      <c r="BC70" s="276"/>
      <c r="BD70" s="276"/>
      <c r="BE70" s="276"/>
      <c r="BF70" s="276"/>
      <c r="BG70" s="276"/>
      <c r="BH70" s="276"/>
      <c r="BI70" s="324"/>
      <c r="BJ70" s="324"/>
      <c r="BK70" s="273"/>
      <c r="BL70" s="273"/>
      <c r="BM70" s="273"/>
      <c r="BN70" s="273"/>
      <c r="BO70" s="273"/>
      <c r="BP70" s="273"/>
      <c r="BQ70" s="273"/>
      <c r="BR70" s="273"/>
      <c r="BS70" s="273"/>
      <c r="BT70" s="273"/>
      <c r="BU70" s="325"/>
      <c r="BV70" s="325"/>
    </row>
    <row r="71" customFormat="false" ht="13.5" hidden="false" customHeight="true" outlineLevel="0" collapsed="false">
      <c r="A71" s="271" t="s">
        <v>448</v>
      </c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2"/>
      <c r="M71" s="272"/>
      <c r="N71" s="279" t="s">
        <v>449</v>
      </c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80"/>
      <c r="Z71" s="280"/>
      <c r="AA71" s="321"/>
      <c r="AB71" s="309" t="s">
        <v>450</v>
      </c>
      <c r="AC71" s="309"/>
      <c r="AD71" s="309"/>
      <c r="AE71" s="309"/>
      <c r="AF71" s="309"/>
      <c r="AG71" s="309"/>
      <c r="AH71" s="309"/>
      <c r="AI71" s="333"/>
      <c r="AJ71" s="333"/>
      <c r="AK71" s="311"/>
      <c r="AL71" s="311"/>
      <c r="AM71" s="311"/>
      <c r="AN71" s="311"/>
      <c r="AO71" s="311"/>
      <c r="AP71" s="311"/>
      <c r="AQ71" s="311"/>
      <c r="AR71" s="334"/>
      <c r="AS71" s="334"/>
      <c r="AT71" s="0"/>
      <c r="AU71" s="301" t="s">
        <v>451</v>
      </c>
      <c r="AV71" s="301"/>
      <c r="AW71" s="301"/>
      <c r="AX71" s="301"/>
      <c r="AY71" s="301"/>
      <c r="AZ71" s="301"/>
      <c r="BA71" s="301"/>
      <c r="BB71" s="301"/>
      <c r="BC71" s="301"/>
      <c r="BD71" s="301"/>
      <c r="BE71" s="301"/>
      <c r="BF71" s="301"/>
      <c r="BG71" s="301"/>
      <c r="BH71" s="301"/>
      <c r="BI71" s="329"/>
      <c r="BJ71" s="329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30"/>
      <c r="BV71" s="330"/>
    </row>
    <row r="72" customFormat="false" ht="13.5" hidden="false" customHeight="true" outlineLevel="0" collapsed="false">
      <c r="A72" s="271" t="s">
        <v>452</v>
      </c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2"/>
      <c r="M72" s="272"/>
      <c r="N72" s="279" t="s">
        <v>453</v>
      </c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80"/>
      <c r="Z72" s="280"/>
      <c r="AA72" s="321"/>
      <c r="AT72" s="0"/>
    </row>
    <row r="73" customFormat="false" ht="12.75" hidden="false" customHeight="true" outlineLevel="0" collapsed="false">
      <c r="A73" s="335" t="s">
        <v>454</v>
      </c>
      <c r="B73" s="335"/>
      <c r="C73" s="335"/>
      <c r="D73" s="335"/>
      <c r="E73" s="335"/>
      <c r="F73" s="335"/>
      <c r="G73" s="335"/>
      <c r="H73" s="335"/>
      <c r="I73" s="335"/>
      <c r="J73" s="335"/>
      <c r="K73" s="335"/>
      <c r="L73" s="272"/>
      <c r="M73" s="272"/>
      <c r="N73" s="279" t="s">
        <v>455</v>
      </c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80"/>
      <c r="Z73" s="280"/>
      <c r="AA73" s="321"/>
      <c r="AB73" s="293" t="s">
        <v>456</v>
      </c>
      <c r="AC73" s="293"/>
      <c r="AD73" s="293"/>
      <c r="AE73" s="293"/>
      <c r="AF73" s="293"/>
      <c r="AG73" s="293"/>
      <c r="AH73" s="293"/>
      <c r="AI73" s="293"/>
      <c r="AJ73" s="293"/>
      <c r="AK73" s="293"/>
      <c r="AL73" s="293"/>
      <c r="AM73" s="293"/>
      <c r="AN73" s="293"/>
      <c r="AO73" s="293"/>
      <c r="AP73" s="293"/>
      <c r="AQ73" s="293"/>
      <c r="AR73" s="293"/>
      <c r="AS73" s="293"/>
      <c r="AT73" s="0"/>
      <c r="AU73" s="293" t="s">
        <v>457</v>
      </c>
      <c r="AV73" s="293"/>
      <c r="AW73" s="293"/>
      <c r="AX73" s="293"/>
      <c r="AY73" s="293"/>
      <c r="AZ73" s="293"/>
      <c r="BA73" s="293"/>
      <c r="BB73" s="293"/>
      <c r="BC73" s="293"/>
      <c r="BD73" s="293"/>
      <c r="BE73" s="293"/>
      <c r="BF73" s="293"/>
      <c r="BG73" s="293"/>
      <c r="BH73" s="293"/>
      <c r="BI73" s="293"/>
      <c r="BJ73" s="293"/>
      <c r="BK73" s="293"/>
      <c r="BL73" s="293"/>
      <c r="BM73" s="293"/>
      <c r="BN73" s="293"/>
      <c r="BO73" s="293"/>
      <c r="BP73" s="293"/>
      <c r="BQ73" s="293"/>
      <c r="BR73" s="293"/>
      <c r="BS73" s="293"/>
      <c r="BT73" s="293"/>
      <c r="BU73" s="293"/>
      <c r="BV73" s="293"/>
    </row>
    <row r="74" customFormat="false" ht="12.75" hidden="false" customHeight="true" outlineLevel="0" collapsed="false">
      <c r="A74" s="271" t="s">
        <v>458</v>
      </c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2"/>
      <c r="M74" s="272"/>
      <c r="N74" s="279" t="s">
        <v>459</v>
      </c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80"/>
      <c r="Z74" s="280"/>
      <c r="AA74" s="321"/>
      <c r="AB74" s="336" t="s">
        <v>460</v>
      </c>
      <c r="AC74" s="336"/>
      <c r="AD74" s="336"/>
      <c r="AE74" s="336"/>
      <c r="AF74" s="336"/>
      <c r="AG74" s="336"/>
      <c r="AH74" s="336"/>
      <c r="AI74" s="132"/>
      <c r="AJ74" s="132"/>
      <c r="AK74" s="314"/>
      <c r="AL74" s="314"/>
      <c r="AM74" s="314"/>
      <c r="AN74" s="314"/>
      <c r="AO74" s="314"/>
      <c r="AP74" s="314"/>
      <c r="AQ74" s="314"/>
      <c r="AR74" s="328"/>
      <c r="AS74" s="328"/>
      <c r="AT74" s="0"/>
      <c r="AU74" s="337" t="s">
        <v>461</v>
      </c>
      <c r="AV74" s="337"/>
      <c r="AW74" s="337"/>
      <c r="AX74" s="337"/>
      <c r="AY74" s="337"/>
      <c r="AZ74" s="337"/>
      <c r="BA74" s="337"/>
      <c r="BB74" s="337"/>
      <c r="BC74" s="337"/>
      <c r="BD74" s="337"/>
      <c r="BE74" s="337"/>
      <c r="BF74" s="337"/>
      <c r="BG74" s="337"/>
      <c r="BH74" s="337"/>
      <c r="BI74" s="337"/>
      <c r="BJ74" s="337"/>
      <c r="BK74" s="337"/>
      <c r="BL74" s="337"/>
      <c r="BM74" s="337"/>
      <c r="BN74" s="337"/>
      <c r="BO74" s="337"/>
      <c r="BP74" s="337"/>
      <c r="BQ74" s="337"/>
      <c r="BR74" s="337"/>
      <c r="BS74" s="337"/>
      <c r="BT74" s="337"/>
      <c r="BU74" s="337"/>
      <c r="BV74" s="337"/>
    </row>
    <row r="75" customFormat="false" ht="12.75" hidden="false" customHeight="true" outlineLevel="0" collapsed="false">
      <c r="A75" s="271" t="s">
        <v>357</v>
      </c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2"/>
      <c r="M75" s="272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80"/>
      <c r="Z75" s="280"/>
      <c r="AA75" s="321"/>
      <c r="AB75" s="336" t="s">
        <v>462</v>
      </c>
      <c r="AC75" s="336"/>
      <c r="AD75" s="336"/>
      <c r="AE75" s="336"/>
      <c r="AF75" s="336"/>
      <c r="AG75" s="336"/>
      <c r="AH75" s="336"/>
      <c r="AI75" s="132"/>
      <c r="AJ75" s="132"/>
      <c r="AK75" s="314"/>
      <c r="AL75" s="314"/>
      <c r="AM75" s="314"/>
      <c r="AN75" s="314"/>
      <c r="AO75" s="314"/>
      <c r="AP75" s="314"/>
      <c r="AQ75" s="314"/>
      <c r="AR75" s="328"/>
      <c r="AS75" s="328"/>
      <c r="AT75" s="0"/>
      <c r="AU75" s="337" t="s">
        <v>463</v>
      </c>
      <c r="AV75" s="337"/>
      <c r="AW75" s="337"/>
      <c r="AX75" s="337"/>
      <c r="AY75" s="337"/>
      <c r="AZ75" s="337"/>
      <c r="BA75" s="337"/>
      <c r="BB75" s="337"/>
      <c r="BC75" s="337"/>
      <c r="BD75" s="337"/>
      <c r="BE75" s="337"/>
      <c r="BF75" s="337"/>
      <c r="BG75" s="337"/>
      <c r="BH75" s="337"/>
      <c r="BI75" s="337"/>
      <c r="BJ75" s="337"/>
      <c r="BK75" s="337"/>
      <c r="BL75" s="337"/>
      <c r="BM75" s="337"/>
      <c r="BN75" s="337"/>
      <c r="BO75" s="337"/>
      <c r="BP75" s="337"/>
      <c r="BQ75" s="337"/>
      <c r="BR75" s="337"/>
      <c r="BS75" s="337"/>
      <c r="BT75" s="337"/>
      <c r="BU75" s="337"/>
      <c r="BV75" s="337"/>
    </row>
    <row r="76" customFormat="false" ht="17.25" hidden="false" customHeight="true" outlineLevel="0" collapsed="false">
      <c r="A76" s="282" t="s">
        <v>464</v>
      </c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3"/>
      <c r="M76" s="283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97"/>
      <c r="Z76" s="297"/>
      <c r="AA76" s="321"/>
      <c r="AB76" s="291" t="s">
        <v>465</v>
      </c>
      <c r="AC76" s="291"/>
      <c r="AD76" s="291"/>
      <c r="AE76" s="291"/>
      <c r="AF76" s="291"/>
      <c r="AG76" s="291"/>
      <c r="AH76" s="291"/>
      <c r="AI76" s="338"/>
      <c r="AJ76" s="338"/>
      <c r="AK76" s="339"/>
      <c r="AL76" s="339"/>
      <c r="AM76" s="339"/>
      <c r="AN76" s="339"/>
      <c r="AO76" s="339"/>
      <c r="AP76" s="339"/>
      <c r="AQ76" s="339"/>
      <c r="AR76" s="334"/>
      <c r="AS76" s="334"/>
      <c r="AU76" s="340" t="s">
        <v>466</v>
      </c>
      <c r="AV76" s="340"/>
      <c r="AW76" s="340"/>
      <c r="AX76" s="340"/>
      <c r="AY76" s="340"/>
      <c r="AZ76" s="340"/>
      <c r="BA76" s="324"/>
      <c r="BB76" s="324"/>
      <c r="BC76" s="341" t="s">
        <v>467</v>
      </c>
      <c r="BD76" s="341"/>
      <c r="BE76" s="341"/>
      <c r="BF76" s="341"/>
      <c r="BG76" s="341"/>
      <c r="BH76" s="341"/>
      <c r="BI76" s="341"/>
      <c r="BJ76" s="324"/>
      <c r="BK76" s="324"/>
      <c r="BL76" s="341" t="s">
        <v>468</v>
      </c>
      <c r="BM76" s="341"/>
      <c r="BN76" s="341"/>
      <c r="BO76" s="324"/>
      <c r="BP76" s="324"/>
      <c r="BQ76" s="341" t="s">
        <v>469</v>
      </c>
      <c r="BR76" s="341"/>
      <c r="BS76" s="341"/>
      <c r="BT76" s="341"/>
      <c r="BU76" s="342"/>
      <c r="BV76" s="342"/>
    </row>
    <row r="77" customFormat="false" ht="13.5" hidden="false" customHeight="true" outlineLevel="0" collapsed="false">
      <c r="AU77" s="343" t="s">
        <v>470</v>
      </c>
      <c r="AV77" s="343"/>
      <c r="AW77" s="343"/>
      <c r="AX77" s="343"/>
      <c r="AY77" s="343"/>
      <c r="AZ77" s="343"/>
      <c r="BA77" s="343"/>
      <c r="BB77" s="343"/>
      <c r="BC77" s="343"/>
      <c r="BD77" s="343"/>
      <c r="BE77" s="343"/>
      <c r="BF77" s="343"/>
      <c r="BG77" s="343"/>
      <c r="BH77" s="343"/>
      <c r="BI77" s="343"/>
      <c r="BJ77" s="343"/>
      <c r="BK77" s="343"/>
      <c r="BL77" s="343"/>
      <c r="BM77" s="343"/>
      <c r="BN77" s="343"/>
      <c r="BO77" s="343"/>
      <c r="BP77" s="343"/>
      <c r="BQ77" s="343"/>
      <c r="BR77" s="343"/>
      <c r="BS77" s="343"/>
      <c r="BT77" s="343"/>
      <c r="BU77" s="343"/>
      <c r="BV77" s="343"/>
    </row>
    <row r="78" customFormat="false" ht="12.75" hidden="false" customHeight="true" outlineLevel="0" collapsed="false">
      <c r="A78" s="344" t="s">
        <v>471</v>
      </c>
      <c r="B78" s="344"/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344"/>
      <c r="AB78" s="344"/>
      <c r="AC78" s="344"/>
      <c r="AD78" s="344"/>
      <c r="AE78" s="344"/>
      <c r="AF78" s="344"/>
      <c r="AG78" s="344"/>
      <c r="AH78" s="344"/>
      <c r="AI78" s="344"/>
      <c r="AJ78" s="344"/>
      <c r="AK78" s="344"/>
      <c r="AL78" s="344"/>
      <c r="AM78" s="344"/>
      <c r="AN78" s="344"/>
      <c r="AO78" s="344"/>
      <c r="AP78" s="344"/>
      <c r="AQ78" s="344"/>
      <c r="AR78" s="344"/>
      <c r="AS78" s="344"/>
      <c r="AT78" s="0"/>
      <c r="AU78" s="343" t="s">
        <v>472</v>
      </c>
      <c r="AV78" s="343"/>
      <c r="AW78" s="343"/>
      <c r="AX78" s="343"/>
      <c r="AY78" s="343"/>
      <c r="AZ78" s="343"/>
      <c r="BA78" s="343"/>
      <c r="BB78" s="343"/>
      <c r="BC78" s="343"/>
      <c r="BD78" s="343"/>
      <c r="BE78" s="343"/>
      <c r="BF78" s="343"/>
      <c r="BG78" s="343"/>
      <c r="BH78" s="343"/>
      <c r="BI78" s="343"/>
      <c r="BJ78" s="343"/>
      <c r="BK78" s="343"/>
      <c r="BL78" s="343"/>
      <c r="BM78" s="343"/>
      <c r="BN78" s="343"/>
      <c r="BO78" s="343"/>
      <c r="BP78" s="343"/>
      <c r="BQ78" s="343"/>
      <c r="BR78" s="343"/>
      <c r="BS78" s="343"/>
      <c r="BT78" s="343"/>
      <c r="BU78" s="343"/>
      <c r="BV78" s="343"/>
    </row>
    <row r="79" customFormat="false" ht="12.75" hidden="false" customHeight="true" outlineLevel="0" collapsed="false">
      <c r="A79" s="345"/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345"/>
      <c r="AB79" s="345"/>
      <c r="AC79" s="345"/>
      <c r="AD79" s="345"/>
      <c r="AE79" s="345"/>
      <c r="AF79" s="345"/>
      <c r="AG79" s="345"/>
      <c r="AH79" s="345"/>
      <c r="AI79" s="345"/>
      <c r="AJ79" s="345"/>
      <c r="AK79" s="345"/>
      <c r="AL79" s="345"/>
      <c r="AM79" s="345"/>
      <c r="AN79" s="345"/>
      <c r="AO79" s="345"/>
      <c r="AP79" s="345"/>
      <c r="AQ79" s="345"/>
      <c r="AR79" s="345"/>
      <c r="AS79" s="345"/>
      <c r="AT79" s="0"/>
      <c r="AU79" s="346" t="s">
        <v>132</v>
      </c>
      <c r="AV79" s="347"/>
      <c r="AW79" s="347"/>
      <c r="AX79" s="347"/>
      <c r="AY79" s="347"/>
      <c r="AZ79" s="347"/>
      <c r="BA79" s="347"/>
      <c r="BB79" s="347"/>
      <c r="BC79" s="347"/>
      <c r="BD79" s="347"/>
      <c r="BE79" s="347"/>
      <c r="BF79" s="347"/>
      <c r="BG79" s="347"/>
      <c r="BH79" s="347"/>
      <c r="BI79" s="347"/>
      <c r="BJ79" s="347"/>
      <c r="BK79" s="347"/>
      <c r="BL79" s="347"/>
      <c r="BM79" s="347"/>
      <c r="BN79" s="347"/>
      <c r="BO79" s="347"/>
      <c r="BP79" s="347"/>
      <c r="BQ79" s="347"/>
      <c r="BR79" s="347"/>
      <c r="BS79" s="347"/>
      <c r="BT79" s="347"/>
      <c r="BU79" s="347"/>
      <c r="BV79" s="347"/>
    </row>
    <row r="80" customFormat="false" ht="12.75" hidden="false" customHeight="true" outlineLevel="0" collapsed="false">
      <c r="A80" s="345"/>
      <c r="B80" s="345"/>
      <c r="C80" s="345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  <c r="AA80" s="345"/>
      <c r="AB80" s="345"/>
      <c r="AC80" s="345"/>
      <c r="AD80" s="345"/>
      <c r="AE80" s="345"/>
      <c r="AF80" s="345"/>
      <c r="AG80" s="345"/>
      <c r="AH80" s="345"/>
      <c r="AI80" s="345"/>
      <c r="AJ80" s="345"/>
      <c r="AK80" s="345"/>
      <c r="AL80" s="345"/>
      <c r="AM80" s="345"/>
      <c r="AN80" s="345"/>
      <c r="AO80" s="345"/>
      <c r="AP80" s="345"/>
      <c r="AQ80" s="345"/>
      <c r="AR80" s="345"/>
      <c r="AS80" s="345"/>
      <c r="AT80" s="0"/>
      <c r="AU80" s="346" t="s">
        <v>134</v>
      </c>
      <c r="AV80" s="348"/>
      <c r="AW80" s="348"/>
      <c r="AX80" s="348"/>
      <c r="AY80" s="348"/>
      <c r="AZ80" s="348"/>
      <c r="BA80" s="348"/>
      <c r="BB80" s="348"/>
      <c r="BC80" s="348"/>
      <c r="BD80" s="348"/>
      <c r="BE80" s="348"/>
      <c r="BF80" s="348"/>
      <c r="BG80" s="348"/>
      <c r="BH80" s="348"/>
      <c r="BI80" s="348"/>
      <c r="BJ80" s="348"/>
      <c r="BK80" s="348"/>
      <c r="BL80" s="348"/>
      <c r="BM80" s="348"/>
      <c r="BN80" s="348"/>
      <c r="BO80" s="348"/>
      <c r="BP80" s="348"/>
      <c r="BQ80" s="348"/>
      <c r="BR80" s="348"/>
      <c r="BS80" s="348"/>
      <c r="BT80" s="348"/>
      <c r="BU80" s="348"/>
      <c r="BV80" s="348"/>
    </row>
    <row r="81" customFormat="false" ht="12.75" hidden="false" customHeight="true" outlineLevel="0" collapsed="false">
      <c r="A81" s="345"/>
      <c r="B81" s="345"/>
      <c r="C81" s="345"/>
      <c r="D81" s="345"/>
      <c r="E81" s="345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  <c r="AC81" s="345"/>
      <c r="AD81" s="345"/>
      <c r="AE81" s="345"/>
      <c r="AF81" s="345"/>
      <c r="AG81" s="345"/>
      <c r="AH81" s="345"/>
      <c r="AI81" s="345"/>
      <c r="AJ81" s="345"/>
      <c r="AK81" s="345"/>
      <c r="AL81" s="345"/>
      <c r="AM81" s="345"/>
      <c r="AN81" s="345"/>
      <c r="AO81" s="345"/>
      <c r="AP81" s="345"/>
      <c r="AQ81" s="345"/>
      <c r="AR81" s="345"/>
      <c r="AS81" s="345"/>
      <c r="AT81" s="0"/>
      <c r="AU81" s="346" t="s">
        <v>136</v>
      </c>
      <c r="AV81" s="348"/>
      <c r="AW81" s="348"/>
      <c r="AX81" s="348"/>
      <c r="AY81" s="348"/>
      <c r="AZ81" s="348"/>
      <c r="BA81" s="348"/>
      <c r="BB81" s="348"/>
      <c r="BC81" s="348"/>
      <c r="BD81" s="348"/>
      <c r="BE81" s="348"/>
      <c r="BF81" s="348"/>
      <c r="BG81" s="348"/>
      <c r="BH81" s="348"/>
      <c r="BI81" s="348"/>
      <c r="BJ81" s="348"/>
      <c r="BK81" s="348"/>
      <c r="BL81" s="348"/>
      <c r="BM81" s="348"/>
      <c r="BN81" s="348"/>
      <c r="BO81" s="348"/>
      <c r="BP81" s="348"/>
      <c r="BQ81" s="348"/>
      <c r="BR81" s="348"/>
      <c r="BS81" s="348"/>
      <c r="BT81" s="348"/>
      <c r="BU81" s="348"/>
      <c r="BV81" s="348"/>
    </row>
    <row r="82" customFormat="false" ht="12.75" hidden="false" customHeight="true" outlineLevel="0" collapsed="false">
      <c r="A82" s="345"/>
      <c r="B82" s="345"/>
      <c r="C82" s="345"/>
      <c r="D82" s="345"/>
      <c r="E82" s="345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  <c r="AB82" s="345"/>
      <c r="AC82" s="345"/>
      <c r="AD82" s="345"/>
      <c r="AE82" s="345"/>
      <c r="AF82" s="345"/>
      <c r="AG82" s="345"/>
      <c r="AH82" s="345"/>
      <c r="AI82" s="345"/>
      <c r="AJ82" s="345"/>
      <c r="AK82" s="345"/>
      <c r="AL82" s="345"/>
      <c r="AM82" s="345"/>
      <c r="AN82" s="345"/>
      <c r="AO82" s="345"/>
      <c r="AP82" s="345"/>
      <c r="AQ82" s="345"/>
      <c r="AR82" s="345"/>
      <c r="AS82" s="345"/>
      <c r="AT82" s="0"/>
      <c r="AU82" s="349" t="s">
        <v>473</v>
      </c>
      <c r="AV82" s="349"/>
      <c r="AW82" s="349"/>
      <c r="AX82" s="349"/>
      <c r="AY82" s="349"/>
      <c r="AZ82" s="349"/>
      <c r="BA82" s="349"/>
      <c r="BB82" s="349"/>
      <c r="BC82" s="349"/>
      <c r="BD82" s="349"/>
      <c r="BE82" s="349"/>
      <c r="BF82" s="349"/>
      <c r="BG82" s="349"/>
      <c r="BH82" s="327"/>
      <c r="BI82" s="327"/>
      <c r="BJ82" s="350" t="s">
        <v>474</v>
      </c>
      <c r="BK82" s="350"/>
      <c r="BL82" s="350"/>
      <c r="BM82" s="350"/>
      <c r="BN82" s="350"/>
      <c r="BO82" s="350"/>
      <c r="BP82" s="350"/>
      <c r="BQ82" s="350"/>
      <c r="BR82" s="350"/>
      <c r="BS82" s="350"/>
      <c r="BT82" s="350"/>
      <c r="BU82" s="351"/>
      <c r="BV82" s="351"/>
    </row>
    <row r="83" customFormat="false" ht="13.5" hidden="false" customHeight="true" outlineLevel="0" collapsed="false">
      <c r="A83" s="352"/>
      <c r="B83" s="352"/>
      <c r="C83" s="352"/>
      <c r="D83" s="352"/>
      <c r="E83" s="352"/>
      <c r="F83" s="352"/>
      <c r="G83" s="352"/>
      <c r="H83" s="352"/>
      <c r="I83" s="352"/>
      <c r="J83" s="352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  <c r="Y83" s="352"/>
      <c r="Z83" s="352"/>
      <c r="AA83" s="352"/>
      <c r="AB83" s="352"/>
      <c r="AC83" s="352"/>
      <c r="AD83" s="352"/>
      <c r="AE83" s="352"/>
      <c r="AF83" s="352"/>
      <c r="AG83" s="352"/>
      <c r="AH83" s="352"/>
      <c r="AI83" s="352"/>
      <c r="AJ83" s="352"/>
      <c r="AK83" s="352"/>
      <c r="AL83" s="352"/>
      <c r="AM83" s="352"/>
      <c r="AN83" s="352"/>
      <c r="AO83" s="352"/>
      <c r="AP83" s="352"/>
      <c r="AQ83" s="352"/>
      <c r="AR83" s="352"/>
      <c r="AS83" s="352"/>
      <c r="AT83" s="0"/>
      <c r="AU83" s="353" t="s">
        <v>475</v>
      </c>
      <c r="AV83" s="353"/>
      <c r="AW83" s="353"/>
      <c r="AX83" s="353"/>
      <c r="AY83" s="353"/>
      <c r="AZ83" s="353"/>
      <c r="BA83" s="353"/>
      <c r="BB83" s="353"/>
      <c r="BC83" s="353"/>
      <c r="BD83" s="353"/>
      <c r="BE83" s="353"/>
      <c r="BF83" s="353"/>
      <c r="BG83" s="353"/>
      <c r="BH83" s="333"/>
      <c r="BI83" s="333"/>
      <c r="BJ83" s="354"/>
      <c r="BK83" s="354"/>
      <c r="BL83" s="354"/>
      <c r="BM83" s="354"/>
      <c r="BN83" s="354"/>
      <c r="BO83" s="354"/>
      <c r="BP83" s="354"/>
      <c r="BQ83" s="354"/>
      <c r="BR83" s="354"/>
      <c r="BS83" s="354"/>
      <c r="BT83" s="354"/>
      <c r="BU83" s="354"/>
      <c r="BV83" s="354"/>
    </row>
    <row r="84" customFormat="false" ht="13.5" hidden="false" customHeight="false" outlineLevel="0" collapsed="false">
      <c r="A84" s="355"/>
      <c r="B84" s="355"/>
      <c r="C84" s="355"/>
      <c r="D84" s="355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355"/>
      <c r="Z84" s="355"/>
      <c r="AA84" s="355"/>
      <c r="AB84" s="355"/>
      <c r="AC84" s="355"/>
      <c r="AD84" s="355"/>
      <c r="AE84" s="355"/>
      <c r="AF84" s="355"/>
      <c r="AG84" s="355"/>
      <c r="AH84" s="355"/>
      <c r="AI84" s="355"/>
      <c r="AJ84" s="355"/>
      <c r="AK84" s="355"/>
      <c r="AL84" s="355"/>
      <c r="AM84" s="355"/>
      <c r="AN84" s="355"/>
      <c r="AO84" s="355"/>
      <c r="AP84" s="355"/>
      <c r="AQ84" s="355"/>
      <c r="AR84" s="355"/>
      <c r="AS84" s="355"/>
      <c r="AT84" s="0"/>
      <c r="AU84" s="356"/>
      <c r="AV84" s="356"/>
      <c r="AW84" s="356"/>
      <c r="AX84" s="356"/>
      <c r="AY84" s="356"/>
      <c r="AZ84" s="356"/>
      <c r="BA84" s="356"/>
      <c r="BB84" s="356"/>
      <c r="BC84" s="356"/>
      <c r="BD84" s="356"/>
      <c r="BE84" s="356"/>
      <c r="BF84" s="356"/>
      <c r="BG84" s="356"/>
      <c r="BH84" s="357"/>
      <c r="BI84" s="357"/>
      <c r="BJ84" s="358"/>
      <c r="BK84" s="358"/>
      <c r="BL84" s="358"/>
      <c r="BM84" s="358"/>
      <c r="BN84" s="358"/>
      <c r="BO84" s="358"/>
      <c r="BP84" s="358"/>
      <c r="BQ84" s="358"/>
      <c r="BR84" s="358"/>
      <c r="BS84" s="358"/>
      <c r="BT84" s="358"/>
      <c r="BU84" s="358"/>
      <c r="BV84" s="358"/>
    </row>
    <row r="85" customFormat="false" ht="16.5" hidden="false" customHeight="true" outlineLevel="0" collapsed="false">
      <c r="A85" s="2" t="s">
        <v>476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</row>
    <row r="86" customFormat="false" ht="12.75" hidden="false" customHeight="true" outlineLevel="0" collapsed="false">
      <c r="A86" s="161" t="s">
        <v>477</v>
      </c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2" t="s">
        <v>478</v>
      </c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 t="s">
        <v>12</v>
      </c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 t="s">
        <v>10</v>
      </c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162"/>
      <c r="BB86" s="162"/>
      <c r="BC86" s="162"/>
      <c r="BD86" s="162"/>
      <c r="BE86" s="162"/>
      <c r="BF86" s="162"/>
      <c r="BG86" s="162"/>
      <c r="BH86" s="163" t="s">
        <v>11</v>
      </c>
      <c r="BI86" s="163"/>
      <c r="BJ86" s="163"/>
      <c r="BK86" s="163"/>
      <c r="BL86" s="163"/>
      <c r="BM86" s="163"/>
      <c r="BN86" s="163"/>
      <c r="BO86" s="163"/>
      <c r="BP86" s="163"/>
      <c r="BQ86" s="163"/>
      <c r="BR86" s="163"/>
      <c r="BS86" s="163"/>
      <c r="BT86" s="163"/>
      <c r="BU86" s="163"/>
      <c r="BV86" s="163"/>
    </row>
    <row r="87" customFormat="false" ht="12.75" hidden="false" customHeight="true" outlineLevel="0" collapsed="false">
      <c r="A87" s="109" t="n">
        <f aca="true">+TODAY()</f>
        <v>46297</v>
      </c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359" t="n">
        <f aca="true">+NOW()</f>
        <v>46297.8549938368</v>
      </c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53" t="str">
        <f aca="false">+HC!O61</f>
        <v>FRANK</v>
      </c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 t="str">
        <f aca="false">+HC!AH61</f>
        <v>MEDINA</v>
      </c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4" t="str">
        <f aca="false">+HC!AY61</f>
        <v>ALI</v>
      </c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</row>
    <row r="88" customFormat="false" ht="12.75" hidden="false" customHeight="true" outlineLevel="0" collapsed="false">
      <c r="A88" s="161" t="s">
        <v>147</v>
      </c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2" t="s">
        <v>148</v>
      </c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3" t="s">
        <v>149</v>
      </c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  <c r="BL88" s="163"/>
      <c r="BM88" s="163"/>
      <c r="BN88" s="163"/>
      <c r="BO88" s="163"/>
      <c r="BP88" s="163"/>
      <c r="BQ88" s="163"/>
      <c r="BR88" s="163"/>
      <c r="BS88" s="163"/>
      <c r="BT88" s="163"/>
      <c r="BU88" s="163"/>
      <c r="BV88" s="163"/>
    </row>
    <row r="89" customFormat="false" ht="12.75" hidden="false" customHeight="true" outlineLevel="0" collapsed="false">
      <c r="A89" s="360" t="n">
        <f aca="false">+HC!A63</f>
        <v>1756930234</v>
      </c>
      <c r="B89" s="360"/>
      <c r="C89" s="360"/>
      <c r="D89" s="360"/>
      <c r="E89" s="360"/>
      <c r="F89" s="360"/>
      <c r="G89" s="360"/>
      <c r="H89" s="360"/>
      <c r="I89" s="360"/>
      <c r="J89" s="360"/>
      <c r="K89" s="360"/>
      <c r="L89" s="360"/>
      <c r="M89" s="360"/>
      <c r="N89" s="360"/>
      <c r="O89" s="360"/>
      <c r="P89" s="360"/>
      <c r="Q89" s="360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</row>
    <row r="90" customFormat="false" ht="15" hidden="false" customHeight="true" outlineLevel="0" collapsed="false">
      <c r="A90" s="161" t="s">
        <v>479</v>
      </c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2" t="s">
        <v>480</v>
      </c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 t="s">
        <v>481</v>
      </c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3" t="s">
        <v>148</v>
      </c>
      <c r="BA90" s="163"/>
      <c r="BB90" s="163"/>
      <c r="BC90" s="163"/>
      <c r="BD90" s="163"/>
      <c r="BE90" s="163"/>
      <c r="BF90" s="163"/>
      <c r="BG90" s="163"/>
      <c r="BH90" s="163"/>
      <c r="BI90" s="163"/>
      <c r="BJ90" s="163"/>
      <c r="BK90" s="163"/>
      <c r="BL90" s="163"/>
      <c r="BM90" s="163"/>
      <c r="BN90" s="163"/>
      <c r="BO90" s="163"/>
      <c r="BP90" s="163"/>
      <c r="BQ90" s="163"/>
      <c r="BR90" s="163"/>
      <c r="BS90" s="163"/>
      <c r="BT90" s="163"/>
      <c r="BU90" s="163"/>
      <c r="BV90" s="163"/>
    </row>
    <row r="91" customFormat="false" ht="13.5" hidden="false" customHeight="true" outlineLevel="0" collapsed="false">
      <c r="A91" s="361"/>
      <c r="B91" s="361"/>
      <c r="C91" s="361"/>
      <c r="D91" s="361"/>
      <c r="E91" s="361"/>
      <c r="F91" s="361"/>
      <c r="G91" s="361"/>
      <c r="H91" s="361"/>
      <c r="I91" s="361"/>
      <c r="J91" s="361"/>
      <c r="K91" s="361"/>
      <c r="L91" s="362"/>
      <c r="M91" s="362"/>
      <c r="N91" s="362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2"/>
      <c r="AG91" s="362"/>
      <c r="AH91" s="362"/>
      <c r="AI91" s="362"/>
      <c r="AJ91" s="362"/>
      <c r="AK91" s="362"/>
      <c r="AL91" s="362"/>
      <c r="AM91" s="362"/>
      <c r="AN91" s="362"/>
      <c r="AO91" s="362"/>
      <c r="AP91" s="362"/>
      <c r="AQ91" s="362"/>
      <c r="AR91" s="362"/>
      <c r="AS91" s="362"/>
      <c r="AT91" s="362"/>
      <c r="AU91" s="362"/>
      <c r="AV91" s="362"/>
      <c r="AW91" s="362"/>
      <c r="AX91" s="362"/>
      <c r="AY91" s="362"/>
      <c r="AZ91" s="363"/>
      <c r="BA91" s="363"/>
      <c r="BB91" s="363"/>
      <c r="BC91" s="363"/>
      <c r="BD91" s="363"/>
      <c r="BE91" s="363"/>
      <c r="BF91" s="363"/>
      <c r="BG91" s="363"/>
      <c r="BH91" s="363"/>
      <c r="BI91" s="363"/>
      <c r="BJ91" s="363"/>
      <c r="BK91" s="363"/>
      <c r="BL91" s="363"/>
      <c r="BM91" s="363"/>
      <c r="BN91" s="363"/>
      <c r="BO91" s="363"/>
      <c r="BP91" s="363"/>
      <c r="BQ91" s="363"/>
      <c r="BR91" s="363"/>
      <c r="BS91" s="363"/>
      <c r="BT91" s="363"/>
      <c r="BU91" s="363"/>
      <c r="BV91" s="363"/>
    </row>
    <row r="92" customFormat="false" ht="13.5" hidden="false" customHeight="false" outlineLevel="0" collapsed="false"/>
    <row r="93" customFormat="false" ht="15.75" hidden="false" customHeight="true" outlineLevel="0" collapsed="false">
      <c r="A93" s="169" t="s">
        <v>482</v>
      </c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70" t="s">
        <v>483</v>
      </c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0"/>
      <c r="AX93" s="170"/>
      <c r="AY93" s="170"/>
      <c r="AZ93" s="170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  <c r="BK93" s="170"/>
      <c r="BL93" s="170"/>
      <c r="BM93" s="170"/>
      <c r="BN93" s="170"/>
      <c r="BO93" s="170"/>
      <c r="BP93" s="170"/>
      <c r="BQ93" s="170"/>
      <c r="BR93" s="170"/>
      <c r="BS93" s="170"/>
      <c r="BT93" s="170"/>
      <c r="BU93" s="170"/>
      <c r="BV93" s="170"/>
    </row>
  </sheetData>
  <mergeCells count="683">
    <mergeCell ref="A1:BV1"/>
    <mergeCell ref="A2:Q2"/>
    <mergeCell ref="R2:W2"/>
    <mergeCell ref="X2:AS2"/>
    <mergeCell ref="AT2:BK2"/>
    <mergeCell ref="BL2:BV2"/>
    <mergeCell ref="A3:Q3"/>
    <mergeCell ref="R3:W3"/>
    <mergeCell ref="X3:AS3"/>
    <mergeCell ref="AT3:BK3"/>
    <mergeCell ref="BL3:BV3"/>
    <mergeCell ref="A4:O5"/>
    <mergeCell ref="P4:AC5"/>
    <mergeCell ref="AD4:AP5"/>
    <mergeCell ref="AQ4:BB5"/>
    <mergeCell ref="BC4:BE5"/>
    <mergeCell ref="BF4:BK5"/>
    <mergeCell ref="BL4:BN5"/>
    <mergeCell ref="BO4:BV4"/>
    <mergeCell ref="BO5:BP5"/>
    <mergeCell ref="BQ5:BR5"/>
    <mergeCell ref="BS5:BT5"/>
    <mergeCell ref="BU5:BV5"/>
    <mergeCell ref="A6:O6"/>
    <mergeCell ref="P6:AC6"/>
    <mergeCell ref="AD6:AP6"/>
    <mergeCell ref="AQ6:BB6"/>
    <mergeCell ref="BC6:BE6"/>
    <mergeCell ref="BF6:BK6"/>
    <mergeCell ref="BL6:BN6"/>
    <mergeCell ref="BO6:BP6"/>
    <mergeCell ref="BQ6:BR6"/>
    <mergeCell ref="BS6:BT6"/>
    <mergeCell ref="BU6:BV6"/>
    <mergeCell ref="A8:BV8"/>
    <mergeCell ref="A9:AF9"/>
    <mergeCell ref="AG9:AJ9"/>
    <mergeCell ref="AK9:AO11"/>
    <mergeCell ref="AP9:AV9"/>
    <mergeCell ref="AW9:AX9"/>
    <mergeCell ref="AY9:BE9"/>
    <mergeCell ref="BF9:BP9"/>
    <mergeCell ref="BQ9:BV9"/>
    <mergeCell ref="B10:AF10"/>
    <mergeCell ref="AG10:AJ10"/>
    <mergeCell ref="AP10:AV10"/>
    <mergeCell ref="AW10:AX10"/>
    <mergeCell ref="AY10:BE10"/>
    <mergeCell ref="BF10:BP10"/>
    <mergeCell ref="BQ10:BT10"/>
    <mergeCell ref="BU10:BV10"/>
    <mergeCell ref="B11:AF11"/>
    <mergeCell ref="AG11:AJ11"/>
    <mergeCell ref="AP11:AV11"/>
    <mergeCell ref="AW11:AX11"/>
    <mergeCell ref="AY11:BE11"/>
    <mergeCell ref="BF11:BP11"/>
    <mergeCell ref="BQ11:BT11"/>
    <mergeCell ref="BU11:BV11"/>
    <mergeCell ref="A12:BV12"/>
    <mergeCell ref="A13:BV13"/>
    <mergeCell ref="A15:BV15"/>
    <mergeCell ref="A16:Z16"/>
    <mergeCell ref="AB16:AS16"/>
    <mergeCell ref="AU16:BV16"/>
    <mergeCell ref="A17:K17"/>
    <mergeCell ref="L17:M17"/>
    <mergeCell ref="N17:X17"/>
    <mergeCell ref="Y17:Z17"/>
    <mergeCell ref="AB17:AQ17"/>
    <mergeCell ref="AR17:AS17"/>
    <mergeCell ref="AU17:BH17"/>
    <mergeCell ref="BI17:BJ17"/>
    <mergeCell ref="BK17:BT17"/>
    <mergeCell ref="BU17:BV17"/>
    <mergeCell ref="A18:K18"/>
    <mergeCell ref="L18:M18"/>
    <mergeCell ref="N18:X18"/>
    <mergeCell ref="Y18:Z18"/>
    <mergeCell ref="AB18:AQ18"/>
    <mergeCell ref="AR18:AS18"/>
    <mergeCell ref="AU18:BH18"/>
    <mergeCell ref="BI18:BJ18"/>
    <mergeCell ref="BK18:BT18"/>
    <mergeCell ref="BU18:BV18"/>
    <mergeCell ref="A19:K19"/>
    <mergeCell ref="L19:M19"/>
    <mergeCell ref="N19:X19"/>
    <mergeCell ref="Y19:Z19"/>
    <mergeCell ref="AB19:AQ19"/>
    <mergeCell ref="AR19:AS19"/>
    <mergeCell ref="AU19:BH19"/>
    <mergeCell ref="BI19:BJ19"/>
    <mergeCell ref="BK19:BT19"/>
    <mergeCell ref="BU19:BV19"/>
    <mergeCell ref="A20:K20"/>
    <mergeCell ref="L20:M20"/>
    <mergeCell ref="N20:X20"/>
    <mergeCell ref="Y20:Z20"/>
    <mergeCell ref="AB20:AQ20"/>
    <mergeCell ref="AR20:AS20"/>
    <mergeCell ref="AU20:BH20"/>
    <mergeCell ref="BI20:BJ20"/>
    <mergeCell ref="BK20:BT20"/>
    <mergeCell ref="BU20:BV20"/>
    <mergeCell ref="A21:K21"/>
    <mergeCell ref="L21:M21"/>
    <mergeCell ref="N21:X21"/>
    <mergeCell ref="Y21:Z21"/>
    <mergeCell ref="AB21:AQ21"/>
    <mergeCell ref="AR21:AS21"/>
    <mergeCell ref="AU21:BH21"/>
    <mergeCell ref="BI21:BJ21"/>
    <mergeCell ref="BK21:BT21"/>
    <mergeCell ref="BU21:BV21"/>
    <mergeCell ref="A22:K22"/>
    <mergeCell ref="L22:M22"/>
    <mergeCell ref="N22:X22"/>
    <mergeCell ref="Y22:Z22"/>
    <mergeCell ref="AB22:AQ22"/>
    <mergeCell ref="AR22:AS22"/>
    <mergeCell ref="AU22:BH22"/>
    <mergeCell ref="BI22:BJ22"/>
    <mergeCell ref="BK22:BT22"/>
    <mergeCell ref="BU22:BV22"/>
    <mergeCell ref="A23:K23"/>
    <mergeCell ref="L23:M23"/>
    <mergeCell ref="N23:X23"/>
    <mergeCell ref="Y23:Z23"/>
    <mergeCell ref="AB23:AQ23"/>
    <mergeCell ref="AR23:AS23"/>
    <mergeCell ref="AU23:BH23"/>
    <mergeCell ref="BI23:BJ23"/>
    <mergeCell ref="BK23:BT23"/>
    <mergeCell ref="BU23:BV23"/>
    <mergeCell ref="A24:K24"/>
    <mergeCell ref="L24:M24"/>
    <mergeCell ref="N24:X24"/>
    <mergeCell ref="Y24:Z24"/>
    <mergeCell ref="AB24:AQ24"/>
    <mergeCell ref="AR24:AS24"/>
    <mergeCell ref="AU24:BH24"/>
    <mergeCell ref="BI24:BJ24"/>
    <mergeCell ref="BK24:BT24"/>
    <mergeCell ref="BU24:BV24"/>
    <mergeCell ref="A25:K25"/>
    <mergeCell ref="L25:M25"/>
    <mergeCell ref="N25:X25"/>
    <mergeCell ref="Y25:Z25"/>
    <mergeCell ref="AB25:AQ25"/>
    <mergeCell ref="AR25:AS25"/>
    <mergeCell ref="AU25:BH25"/>
    <mergeCell ref="BI25:BJ25"/>
    <mergeCell ref="BK25:BT25"/>
    <mergeCell ref="BU25:BV25"/>
    <mergeCell ref="A26:K26"/>
    <mergeCell ref="L26:M26"/>
    <mergeCell ref="N26:X26"/>
    <mergeCell ref="Y26:Z26"/>
    <mergeCell ref="AB26:AQ26"/>
    <mergeCell ref="AR26:AS26"/>
    <mergeCell ref="AU26:BH26"/>
    <mergeCell ref="BI26:BJ26"/>
    <mergeCell ref="BK26:BT26"/>
    <mergeCell ref="BU26:BV26"/>
    <mergeCell ref="A27:K27"/>
    <mergeCell ref="L27:M27"/>
    <mergeCell ref="N27:X27"/>
    <mergeCell ref="Y27:Z27"/>
    <mergeCell ref="AB27:AQ27"/>
    <mergeCell ref="AR27:AS27"/>
    <mergeCell ref="AU27:BH27"/>
    <mergeCell ref="BI27:BJ27"/>
    <mergeCell ref="BK27:BT27"/>
    <mergeCell ref="BU27:BV27"/>
    <mergeCell ref="A28:K28"/>
    <mergeCell ref="L28:M28"/>
    <mergeCell ref="N28:X28"/>
    <mergeCell ref="Y28:Z28"/>
    <mergeCell ref="AB28:AQ28"/>
    <mergeCell ref="AR28:AS28"/>
    <mergeCell ref="AU28:BH28"/>
    <mergeCell ref="BI28:BJ28"/>
    <mergeCell ref="BK28:BT28"/>
    <mergeCell ref="BU28:BV28"/>
    <mergeCell ref="A29:Z29"/>
    <mergeCell ref="AU29:BH29"/>
    <mergeCell ref="BI29:BJ29"/>
    <mergeCell ref="BK29:BT29"/>
    <mergeCell ref="BU29:BV29"/>
    <mergeCell ref="A30:K30"/>
    <mergeCell ref="L30:M30"/>
    <mergeCell ref="N30:X30"/>
    <mergeCell ref="Y30:Z30"/>
    <mergeCell ref="AB30:AS30"/>
    <mergeCell ref="AU30:BH30"/>
    <mergeCell ref="BI30:BJ30"/>
    <mergeCell ref="BK30:BT30"/>
    <mergeCell ref="BU30:BV30"/>
    <mergeCell ref="A31:K31"/>
    <mergeCell ref="L31:M31"/>
    <mergeCell ref="N31:X31"/>
    <mergeCell ref="Y31:Z31"/>
    <mergeCell ref="AB31:AQ31"/>
    <mergeCell ref="AR31:AS31"/>
    <mergeCell ref="AU31:BH31"/>
    <mergeCell ref="BI31:BJ31"/>
    <mergeCell ref="BK31:BT31"/>
    <mergeCell ref="BU31:BV31"/>
    <mergeCell ref="A32:K32"/>
    <mergeCell ref="L32:M32"/>
    <mergeCell ref="N32:X32"/>
    <mergeCell ref="Y32:Z32"/>
    <mergeCell ref="AB32:AQ32"/>
    <mergeCell ref="AR32:AS32"/>
    <mergeCell ref="AU32:BH32"/>
    <mergeCell ref="BI32:BJ32"/>
    <mergeCell ref="BK32:BT32"/>
    <mergeCell ref="BU32:BV32"/>
    <mergeCell ref="A33:K33"/>
    <mergeCell ref="L33:M33"/>
    <mergeCell ref="N33:X33"/>
    <mergeCell ref="Y33:Z33"/>
    <mergeCell ref="AB33:AQ33"/>
    <mergeCell ref="AR33:AS33"/>
    <mergeCell ref="A34:K34"/>
    <mergeCell ref="L34:M34"/>
    <mergeCell ref="N34:X34"/>
    <mergeCell ref="Y34:Z34"/>
    <mergeCell ref="AB34:AQ34"/>
    <mergeCell ref="AR34:AS34"/>
    <mergeCell ref="AU34:BV34"/>
    <mergeCell ref="A35:K35"/>
    <mergeCell ref="L35:M35"/>
    <mergeCell ref="N35:X35"/>
    <mergeCell ref="Y35:Z35"/>
    <mergeCell ref="AB35:AQ35"/>
    <mergeCell ref="AR35:AS35"/>
    <mergeCell ref="AU35:BH35"/>
    <mergeCell ref="BI35:BJ35"/>
    <mergeCell ref="BK35:BT35"/>
    <mergeCell ref="BU35:BV35"/>
    <mergeCell ref="A36:K36"/>
    <mergeCell ref="L36:M36"/>
    <mergeCell ref="N36:X36"/>
    <mergeCell ref="Y36:Z36"/>
    <mergeCell ref="AB36:AQ36"/>
    <mergeCell ref="AR36:AS36"/>
    <mergeCell ref="AU36:BH36"/>
    <mergeCell ref="BI36:BJ36"/>
    <mergeCell ref="BK36:BT36"/>
    <mergeCell ref="BU36:BV36"/>
    <mergeCell ref="A37:K37"/>
    <mergeCell ref="L37:M37"/>
    <mergeCell ref="N37:X37"/>
    <mergeCell ref="Y37:Z37"/>
    <mergeCell ref="AB37:AQ37"/>
    <mergeCell ref="AR37:AS37"/>
    <mergeCell ref="AU37:BH37"/>
    <mergeCell ref="BI37:BJ37"/>
    <mergeCell ref="BK37:BT37"/>
    <mergeCell ref="BU37:BV37"/>
    <mergeCell ref="A38:K38"/>
    <mergeCell ref="L38:M38"/>
    <mergeCell ref="N38:X38"/>
    <mergeCell ref="Y38:Z38"/>
    <mergeCell ref="AB38:AQ38"/>
    <mergeCell ref="AR38:AS38"/>
    <mergeCell ref="AU38:BH38"/>
    <mergeCell ref="BI38:BJ38"/>
    <mergeCell ref="BK38:BT38"/>
    <mergeCell ref="BU38:BV38"/>
    <mergeCell ref="A39:K39"/>
    <mergeCell ref="L39:M39"/>
    <mergeCell ref="N39:X39"/>
    <mergeCell ref="Y39:Z39"/>
    <mergeCell ref="AB39:AQ39"/>
    <mergeCell ref="AR39:AS39"/>
    <mergeCell ref="AU39:BH39"/>
    <mergeCell ref="BI39:BJ39"/>
    <mergeCell ref="BK39:BT39"/>
    <mergeCell ref="BU39:BV39"/>
    <mergeCell ref="A40:K40"/>
    <mergeCell ref="L40:M40"/>
    <mergeCell ref="N40:X40"/>
    <mergeCell ref="Y40:Z40"/>
    <mergeCell ref="AB40:AQ40"/>
    <mergeCell ref="AR40:AS40"/>
    <mergeCell ref="AU40:BH40"/>
    <mergeCell ref="BI40:BJ40"/>
    <mergeCell ref="BK40:BT40"/>
    <mergeCell ref="BU40:BV40"/>
    <mergeCell ref="A41:K41"/>
    <mergeCell ref="L41:M41"/>
    <mergeCell ref="N41:X41"/>
    <mergeCell ref="Y41:Z41"/>
    <mergeCell ref="AB41:AQ41"/>
    <mergeCell ref="AR41:AS41"/>
    <mergeCell ref="AU41:BH41"/>
    <mergeCell ref="BI41:BJ41"/>
    <mergeCell ref="BK41:BT41"/>
    <mergeCell ref="BU41:BV41"/>
    <mergeCell ref="A42:K42"/>
    <mergeCell ref="L42:M42"/>
    <mergeCell ref="N42:X42"/>
    <mergeCell ref="Y42:Z42"/>
    <mergeCell ref="AB42:AQ42"/>
    <mergeCell ref="AR42:AS42"/>
    <mergeCell ref="AU42:BH42"/>
    <mergeCell ref="BI42:BJ42"/>
    <mergeCell ref="BK42:BT42"/>
    <mergeCell ref="BU42:BV42"/>
    <mergeCell ref="A43:K43"/>
    <mergeCell ref="L43:M43"/>
    <mergeCell ref="N43:X43"/>
    <mergeCell ref="Y43:Z43"/>
    <mergeCell ref="AB43:AQ43"/>
    <mergeCell ref="AR43:AS43"/>
    <mergeCell ref="A44:K44"/>
    <mergeCell ref="L44:M44"/>
    <mergeCell ref="N44:X44"/>
    <mergeCell ref="Y44:Z44"/>
    <mergeCell ref="AB44:AQ44"/>
    <mergeCell ref="AR44:AS44"/>
    <mergeCell ref="AU44:BV44"/>
    <mergeCell ref="A45:K45"/>
    <mergeCell ref="L45:M45"/>
    <mergeCell ref="N45:X45"/>
    <mergeCell ref="Y45:Z45"/>
    <mergeCell ref="AB45:AQ45"/>
    <mergeCell ref="AR45:AS45"/>
    <mergeCell ref="AU45:AZ45"/>
    <mergeCell ref="BA45:BB45"/>
    <mergeCell ref="BC45:BK45"/>
    <mergeCell ref="BL45:BM45"/>
    <mergeCell ref="BN45:BT45"/>
    <mergeCell ref="BU45:BV45"/>
    <mergeCell ref="A46:K46"/>
    <mergeCell ref="L46:M46"/>
    <mergeCell ref="N46:X46"/>
    <mergeCell ref="Y46:Z46"/>
    <mergeCell ref="AB46:AQ46"/>
    <mergeCell ref="AR46:AS46"/>
    <mergeCell ref="AU46:AZ46"/>
    <mergeCell ref="BA46:BB46"/>
    <mergeCell ref="BC46:BK46"/>
    <mergeCell ref="BL46:BM46"/>
    <mergeCell ref="BN46:BT46"/>
    <mergeCell ref="BU46:BV46"/>
    <mergeCell ref="A47:K47"/>
    <mergeCell ref="L47:M47"/>
    <mergeCell ref="N47:X47"/>
    <mergeCell ref="Y47:Z47"/>
    <mergeCell ref="AB47:AQ47"/>
    <mergeCell ref="AR47:AS47"/>
    <mergeCell ref="AU47:AZ47"/>
    <mergeCell ref="BA47:BB47"/>
    <mergeCell ref="BC47:BK47"/>
    <mergeCell ref="BL47:BM47"/>
    <mergeCell ref="BN47:BT47"/>
    <mergeCell ref="BU47:BV47"/>
    <mergeCell ref="A48:K48"/>
    <mergeCell ref="L48:M48"/>
    <mergeCell ref="N48:X48"/>
    <mergeCell ref="Y48:Z48"/>
    <mergeCell ref="AB48:AQ48"/>
    <mergeCell ref="AR48:AS48"/>
    <mergeCell ref="AU48:AZ48"/>
    <mergeCell ref="BA48:BB48"/>
    <mergeCell ref="BC48:BK48"/>
    <mergeCell ref="BL48:BM48"/>
    <mergeCell ref="BN48:BT48"/>
    <mergeCell ref="BU48:BV48"/>
    <mergeCell ref="A49:K49"/>
    <mergeCell ref="L49:M49"/>
    <mergeCell ref="N49:X49"/>
    <mergeCell ref="Y49:Z49"/>
    <mergeCell ref="AB49:AQ49"/>
    <mergeCell ref="AR49:AS49"/>
    <mergeCell ref="AU49:AZ49"/>
    <mergeCell ref="BA49:BB49"/>
    <mergeCell ref="BC49:BK49"/>
    <mergeCell ref="BL49:BM49"/>
    <mergeCell ref="BN49:BT49"/>
    <mergeCell ref="BU49:BV49"/>
    <mergeCell ref="A50:K50"/>
    <mergeCell ref="L50:M50"/>
    <mergeCell ref="N50:X50"/>
    <mergeCell ref="Y50:Z50"/>
    <mergeCell ref="AB50:AQ50"/>
    <mergeCell ref="AR50:AS50"/>
    <mergeCell ref="AU50:AZ50"/>
    <mergeCell ref="BA50:BB50"/>
    <mergeCell ref="BC50:BK50"/>
    <mergeCell ref="BL50:BM50"/>
    <mergeCell ref="BN50:BT50"/>
    <mergeCell ref="BU50:BV50"/>
    <mergeCell ref="A51:K51"/>
    <mergeCell ref="L51:M51"/>
    <mergeCell ref="N51:X51"/>
    <mergeCell ref="Y51:Z51"/>
    <mergeCell ref="AB51:AQ51"/>
    <mergeCell ref="AR51:AS51"/>
    <mergeCell ref="A52:K52"/>
    <mergeCell ref="L52:M52"/>
    <mergeCell ref="N52:X52"/>
    <mergeCell ref="Y52:Z52"/>
    <mergeCell ref="AB52:AQ52"/>
    <mergeCell ref="AR52:AS52"/>
    <mergeCell ref="AU52:BV52"/>
    <mergeCell ref="A53:K53"/>
    <mergeCell ref="L53:M53"/>
    <mergeCell ref="N53:X53"/>
    <mergeCell ref="Y53:Z53"/>
    <mergeCell ref="AB53:AQ53"/>
    <mergeCell ref="AR53:AS53"/>
    <mergeCell ref="AU53:BD53"/>
    <mergeCell ref="BE53:BF53"/>
    <mergeCell ref="BG53:BL53"/>
    <mergeCell ref="BM53:BN53"/>
    <mergeCell ref="BO53:BT53"/>
    <mergeCell ref="BU53:BV53"/>
    <mergeCell ref="A54:K54"/>
    <mergeCell ref="L54:M54"/>
    <mergeCell ref="N54:X54"/>
    <mergeCell ref="Y54:Z54"/>
    <mergeCell ref="AB54:AQ54"/>
    <mergeCell ref="AR54:AS54"/>
    <mergeCell ref="AU54:BD54"/>
    <mergeCell ref="BE54:BF54"/>
    <mergeCell ref="BG54:BL54"/>
    <mergeCell ref="BM54:BN54"/>
    <mergeCell ref="BO54:BT54"/>
    <mergeCell ref="BU54:BV54"/>
    <mergeCell ref="A55:K55"/>
    <mergeCell ref="L55:M55"/>
    <mergeCell ref="N55:X55"/>
    <mergeCell ref="Y55:Z55"/>
    <mergeCell ref="AB55:AQ55"/>
    <mergeCell ref="AR55:AS55"/>
    <mergeCell ref="AU55:BD55"/>
    <mergeCell ref="BE55:BF55"/>
    <mergeCell ref="BG55:BL55"/>
    <mergeCell ref="BM55:BN55"/>
    <mergeCell ref="BO55:BT55"/>
    <mergeCell ref="BU55:BV55"/>
    <mergeCell ref="AB56:AQ56"/>
    <mergeCell ref="AR56:AS56"/>
    <mergeCell ref="A57:Z57"/>
    <mergeCell ref="AB57:AQ57"/>
    <mergeCell ref="AR57:AS57"/>
    <mergeCell ref="AU57:BV57"/>
    <mergeCell ref="A58:K58"/>
    <mergeCell ref="L58:M58"/>
    <mergeCell ref="N58:X58"/>
    <mergeCell ref="Y58:Z58"/>
    <mergeCell ref="AB58:AQ58"/>
    <mergeCell ref="AR58:AS58"/>
    <mergeCell ref="AU58:BH58"/>
    <mergeCell ref="BI58:BJ58"/>
    <mergeCell ref="BK58:BT58"/>
    <mergeCell ref="BU58:BV58"/>
    <mergeCell ref="A59:K59"/>
    <mergeCell ref="L59:M59"/>
    <mergeCell ref="N59:X59"/>
    <mergeCell ref="Y59:Z59"/>
    <mergeCell ref="AU59:BH59"/>
    <mergeCell ref="BI59:BJ59"/>
    <mergeCell ref="BK59:BT59"/>
    <mergeCell ref="BU59:BV59"/>
    <mergeCell ref="A60:K60"/>
    <mergeCell ref="L60:M60"/>
    <mergeCell ref="N60:X60"/>
    <mergeCell ref="Y60:Z60"/>
    <mergeCell ref="AB60:AS60"/>
    <mergeCell ref="AU60:BH60"/>
    <mergeCell ref="BI60:BJ60"/>
    <mergeCell ref="BK60:BT60"/>
    <mergeCell ref="BU60:BV60"/>
    <mergeCell ref="A61:K61"/>
    <mergeCell ref="L61:M61"/>
    <mergeCell ref="N61:X61"/>
    <mergeCell ref="Y61:Z61"/>
    <mergeCell ref="AB61:AH61"/>
    <mergeCell ref="AI61:AJ61"/>
    <mergeCell ref="AK61:AQ61"/>
    <mergeCell ref="AR61:AS61"/>
    <mergeCell ref="AU61:BH61"/>
    <mergeCell ref="BI61:BJ61"/>
    <mergeCell ref="BK61:BT61"/>
    <mergeCell ref="BU61:BV61"/>
    <mergeCell ref="A62:K62"/>
    <mergeCell ref="L62:M62"/>
    <mergeCell ref="N62:X62"/>
    <mergeCell ref="Y62:Z62"/>
    <mergeCell ref="AB62:AH62"/>
    <mergeCell ref="AI62:AJ62"/>
    <mergeCell ref="AK62:AQ62"/>
    <mergeCell ref="AR62:AS62"/>
    <mergeCell ref="AU62:BH62"/>
    <mergeCell ref="BI62:BJ62"/>
    <mergeCell ref="BK62:BT62"/>
    <mergeCell ref="BU62:BV62"/>
    <mergeCell ref="A63:Z63"/>
    <mergeCell ref="AB63:AH63"/>
    <mergeCell ref="AI63:AJ63"/>
    <mergeCell ref="AK63:AQ63"/>
    <mergeCell ref="AR63:AS63"/>
    <mergeCell ref="A64:K64"/>
    <mergeCell ref="L64:M64"/>
    <mergeCell ref="N64:X64"/>
    <mergeCell ref="Y64:Z64"/>
    <mergeCell ref="AU64:BV64"/>
    <mergeCell ref="A65:K65"/>
    <mergeCell ref="L65:M65"/>
    <mergeCell ref="N65:X65"/>
    <mergeCell ref="Y65:Z65"/>
    <mergeCell ref="AB65:AS65"/>
    <mergeCell ref="AU65:BH65"/>
    <mergeCell ref="BI65:BJ65"/>
    <mergeCell ref="BK65:BT65"/>
    <mergeCell ref="BU65:BV65"/>
    <mergeCell ref="A66:K66"/>
    <mergeCell ref="L66:M66"/>
    <mergeCell ref="N66:X66"/>
    <mergeCell ref="Y66:Z66"/>
    <mergeCell ref="AB66:AH66"/>
    <mergeCell ref="AI66:AJ66"/>
    <mergeCell ref="AK66:AQ66"/>
    <mergeCell ref="AR66:AS66"/>
    <mergeCell ref="AU66:BH66"/>
    <mergeCell ref="BI66:BJ66"/>
    <mergeCell ref="BK66:BT66"/>
    <mergeCell ref="BU66:BV66"/>
    <mergeCell ref="A67:K67"/>
    <mergeCell ref="L67:M67"/>
    <mergeCell ref="N67:X67"/>
    <mergeCell ref="Y67:Z67"/>
    <mergeCell ref="AB67:AH67"/>
    <mergeCell ref="AI67:AJ67"/>
    <mergeCell ref="AK67:AQ67"/>
    <mergeCell ref="AR67:AS67"/>
    <mergeCell ref="AU67:BH67"/>
    <mergeCell ref="BI67:BJ67"/>
    <mergeCell ref="BK67:BT67"/>
    <mergeCell ref="BU67:BV67"/>
    <mergeCell ref="A68:K68"/>
    <mergeCell ref="L68:M68"/>
    <mergeCell ref="N68:X68"/>
    <mergeCell ref="Y68:Z68"/>
    <mergeCell ref="AB68:AH68"/>
    <mergeCell ref="AI68:AJ68"/>
    <mergeCell ref="AK68:AQ68"/>
    <mergeCell ref="AR68:AS68"/>
    <mergeCell ref="AU68:BH68"/>
    <mergeCell ref="BI68:BJ68"/>
    <mergeCell ref="BK68:BT68"/>
    <mergeCell ref="BU68:BV68"/>
    <mergeCell ref="A69:K69"/>
    <mergeCell ref="L69:M69"/>
    <mergeCell ref="N69:X69"/>
    <mergeCell ref="Y69:Z69"/>
    <mergeCell ref="AB69:AH69"/>
    <mergeCell ref="AI69:AJ69"/>
    <mergeCell ref="AK69:AQ69"/>
    <mergeCell ref="AR69:AS69"/>
    <mergeCell ref="AU69:BH69"/>
    <mergeCell ref="BI69:BJ69"/>
    <mergeCell ref="BK69:BT69"/>
    <mergeCell ref="BU69:BV69"/>
    <mergeCell ref="A70:K70"/>
    <mergeCell ref="L70:M70"/>
    <mergeCell ref="N70:X70"/>
    <mergeCell ref="Y70:Z70"/>
    <mergeCell ref="AB70:AH70"/>
    <mergeCell ref="AI70:AJ70"/>
    <mergeCell ref="AK70:AQ70"/>
    <mergeCell ref="AR70:AS70"/>
    <mergeCell ref="AU70:BH70"/>
    <mergeCell ref="BI70:BJ70"/>
    <mergeCell ref="BK70:BT70"/>
    <mergeCell ref="BU70:BV70"/>
    <mergeCell ref="A71:K71"/>
    <mergeCell ref="L71:M71"/>
    <mergeCell ref="N71:X71"/>
    <mergeCell ref="Y71:Z71"/>
    <mergeCell ref="AB71:AH71"/>
    <mergeCell ref="AI71:AJ71"/>
    <mergeCell ref="AK71:AQ71"/>
    <mergeCell ref="AR71:AS71"/>
    <mergeCell ref="AU71:BH71"/>
    <mergeCell ref="BI71:BJ71"/>
    <mergeCell ref="BK71:BT71"/>
    <mergeCell ref="BU71:BV71"/>
    <mergeCell ref="A72:K72"/>
    <mergeCell ref="L72:M72"/>
    <mergeCell ref="N72:X72"/>
    <mergeCell ref="Y72:Z72"/>
    <mergeCell ref="A73:K73"/>
    <mergeCell ref="L73:M73"/>
    <mergeCell ref="N73:X73"/>
    <mergeCell ref="Y73:Z73"/>
    <mergeCell ref="AB73:AS73"/>
    <mergeCell ref="AU73:BV73"/>
    <mergeCell ref="A74:K74"/>
    <mergeCell ref="L74:M74"/>
    <mergeCell ref="N74:X74"/>
    <mergeCell ref="Y74:Z74"/>
    <mergeCell ref="AB74:AH74"/>
    <mergeCell ref="AI74:AJ74"/>
    <mergeCell ref="AK74:AQ74"/>
    <mergeCell ref="AR74:AS74"/>
    <mergeCell ref="AU74:BV74"/>
    <mergeCell ref="A75:K75"/>
    <mergeCell ref="L75:M75"/>
    <mergeCell ref="N75:X75"/>
    <mergeCell ref="Y75:Z75"/>
    <mergeCell ref="AB75:AH75"/>
    <mergeCell ref="AI75:AJ75"/>
    <mergeCell ref="AK75:AQ75"/>
    <mergeCell ref="AR75:AS75"/>
    <mergeCell ref="AU75:BV75"/>
    <mergeCell ref="A76:K76"/>
    <mergeCell ref="L76:M76"/>
    <mergeCell ref="N76:X76"/>
    <mergeCell ref="Y76:Z76"/>
    <mergeCell ref="AB76:AH76"/>
    <mergeCell ref="AI76:AJ76"/>
    <mergeCell ref="AK76:AQ76"/>
    <mergeCell ref="AR76:AS76"/>
    <mergeCell ref="AU76:AZ76"/>
    <mergeCell ref="BA76:BB76"/>
    <mergeCell ref="BC76:BI76"/>
    <mergeCell ref="BJ76:BK76"/>
    <mergeCell ref="BL76:BN76"/>
    <mergeCell ref="BO76:BP76"/>
    <mergeCell ref="BQ76:BT76"/>
    <mergeCell ref="BU76:BV76"/>
    <mergeCell ref="AU77:BV77"/>
    <mergeCell ref="A78:AS78"/>
    <mergeCell ref="AU78:BV78"/>
    <mergeCell ref="A79:AS79"/>
    <mergeCell ref="AV79:BV79"/>
    <mergeCell ref="A80:AS80"/>
    <mergeCell ref="AV80:BV80"/>
    <mergeCell ref="A81:AS81"/>
    <mergeCell ref="AV81:BV81"/>
    <mergeCell ref="A82:AS82"/>
    <mergeCell ref="AU82:BG82"/>
    <mergeCell ref="BH82:BI82"/>
    <mergeCell ref="BJ82:BT82"/>
    <mergeCell ref="BU82:BV82"/>
    <mergeCell ref="A83:AS83"/>
    <mergeCell ref="AU83:BG83"/>
    <mergeCell ref="BH83:BI83"/>
    <mergeCell ref="BJ83:BV83"/>
    <mergeCell ref="A85:BV85"/>
    <mergeCell ref="A86:K86"/>
    <mergeCell ref="L86:V86"/>
    <mergeCell ref="W86:AO86"/>
    <mergeCell ref="AP86:BG86"/>
    <mergeCell ref="BH86:BV86"/>
    <mergeCell ref="A87:K87"/>
    <mergeCell ref="L87:V87"/>
    <mergeCell ref="W87:AO87"/>
    <mergeCell ref="AP87:BG87"/>
    <mergeCell ref="BH87:BV87"/>
    <mergeCell ref="A88:Q88"/>
    <mergeCell ref="R88:AS88"/>
    <mergeCell ref="AT88:BV88"/>
    <mergeCell ref="A89:Q89"/>
    <mergeCell ref="R89:AS89"/>
    <mergeCell ref="AT89:BV89"/>
    <mergeCell ref="A90:K90"/>
    <mergeCell ref="L90:V90"/>
    <mergeCell ref="W90:AY90"/>
    <mergeCell ref="AZ90:BV90"/>
    <mergeCell ref="A91:K91"/>
    <mergeCell ref="L91:V91"/>
    <mergeCell ref="W91:AY91"/>
    <mergeCell ref="AZ91:BV91"/>
    <mergeCell ref="A93:AI93"/>
    <mergeCell ref="AJ93:BV93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4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F3" activeCellId="0" sqref="BF3:BS3"/>
    </sheetView>
  </sheetViews>
  <sheetFormatPr defaultColWidth="1.70703125" defaultRowHeight="12.75" customHeight="true" zeroHeight="false" outlineLevelRow="0" outlineLevelCol="0"/>
  <cols>
    <col collapsed="false" customWidth="false" hidden="false" outlineLevel="0" max="257" min="1" style="364" width="1.7"/>
  </cols>
  <sheetData>
    <row r="1" customFormat="false" ht="16.5" hidden="false" customHeight="true" outlineLevel="0" collapsed="false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customFormat="false" ht="20.1" hidden="false" customHeight="true" outlineLevel="0" collapsed="false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7" t="s">
        <v>2</v>
      </c>
      <c r="Q2" s="7"/>
      <c r="R2" s="7"/>
      <c r="S2" s="7"/>
      <c r="T2" s="7"/>
      <c r="U2" s="7"/>
      <c r="V2" s="7" t="s">
        <v>3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 t="s">
        <v>4</v>
      </c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243" t="s">
        <v>152</v>
      </c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</row>
    <row r="3" customFormat="false" ht="20.1" hidden="false" customHeight="true" outlineLevel="0" collapsed="false">
      <c r="A3" s="365" t="str">
        <f aca="false">+HC!A3</f>
        <v>RPC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96" t="n">
        <v>56398</v>
      </c>
      <c r="Q3" s="96"/>
      <c r="R3" s="96"/>
      <c r="S3" s="96"/>
      <c r="T3" s="96"/>
      <c r="U3" s="96"/>
      <c r="V3" s="366" t="str">
        <f aca="false">+HC!T3</f>
        <v>MEDISUPORT / QMC</v>
      </c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7" t="str">
        <f aca="false">+HC!AH3</f>
        <v>1704289899</v>
      </c>
      <c r="AO3" s="367"/>
      <c r="AP3" s="367"/>
      <c r="AQ3" s="367"/>
      <c r="AR3" s="367"/>
      <c r="AS3" s="367"/>
      <c r="AT3" s="367"/>
      <c r="AU3" s="367"/>
      <c r="AV3" s="367"/>
      <c r="AW3" s="367"/>
      <c r="AX3" s="367"/>
      <c r="AY3" s="367"/>
      <c r="AZ3" s="367"/>
      <c r="BA3" s="367"/>
      <c r="BB3" s="367"/>
      <c r="BC3" s="367"/>
      <c r="BD3" s="367"/>
      <c r="BE3" s="367"/>
      <c r="BF3" s="248"/>
      <c r="BG3" s="248"/>
      <c r="BH3" s="248"/>
      <c r="BI3" s="248"/>
      <c r="BJ3" s="248"/>
      <c r="BK3" s="248"/>
      <c r="BL3" s="248"/>
      <c r="BM3" s="248"/>
      <c r="BN3" s="248"/>
      <c r="BO3" s="248"/>
      <c r="BP3" s="248"/>
      <c r="BQ3" s="248"/>
      <c r="BR3" s="248"/>
      <c r="BS3" s="248"/>
    </row>
    <row r="4" customFormat="false" ht="18" hidden="false" customHeight="true" outlineLevel="0" collapsed="false">
      <c r="A4" s="48" t="s">
        <v>10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7" t="s">
        <v>11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 t="s">
        <v>12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 t="s">
        <v>13</v>
      </c>
      <c r="AQ4" s="7"/>
      <c r="AR4" s="7"/>
      <c r="AS4" s="7"/>
      <c r="AT4" s="7"/>
      <c r="AU4" s="7"/>
      <c r="AV4" s="7"/>
      <c r="AW4" s="7"/>
      <c r="AX4" s="7"/>
      <c r="AY4" s="7"/>
      <c r="AZ4" s="7" t="s">
        <v>14</v>
      </c>
      <c r="BA4" s="7"/>
      <c r="BB4" s="7"/>
      <c r="BC4" s="7" t="s">
        <v>187</v>
      </c>
      <c r="BD4" s="7"/>
      <c r="BE4" s="7"/>
      <c r="BF4" s="7"/>
      <c r="BG4" s="7"/>
      <c r="BH4" s="7"/>
      <c r="BI4" s="7" t="s">
        <v>153</v>
      </c>
      <c r="BJ4" s="7"/>
      <c r="BK4" s="7"/>
      <c r="BL4" s="18" t="s">
        <v>154</v>
      </c>
      <c r="BM4" s="18"/>
      <c r="BN4" s="18"/>
      <c r="BO4" s="18"/>
      <c r="BP4" s="18"/>
      <c r="BQ4" s="18"/>
      <c r="BR4" s="18"/>
      <c r="BS4" s="18"/>
    </row>
    <row r="5" customFormat="false" ht="12.75" hidden="false" customHeight="true" outlineLevel="0" collapsed="false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 t="s">
        <v>155</v>
      </c>
      <c r="BM5" s="7"/>
      <c r="BN5" s="7" t="s">
        <v>156</v>
      </c>
      <c r="BO5" s="7"/>
      <c r="BP5" s="7" t="s">
        <v>157</v>
      </c>
      <c r="BQ5" s="7"/>
      <c r="BR5" s="8" t="s">
        <v>158</v>
      </c>
      <c r="BS5" s="8"/>
    </row>
    <row r="6" customFormat="false" ht="20.1" hidden="false" customHeight="true" outlineLevel="0" collapsed="false">
      <c r="A6" s="368" t="str">
        <f aca="false">+HC!A5</f>
        <v>AMENDAÑO</v>
      </c>
      <c r="B6" s="368"/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9" t="str">
        <f aca="false">+HC!O5</f>
        <v>COLLAGUAZO</v>
      </c>
      <c r="Q6" s="369"/>
      <c r="R6" s="369"/>
      <c r="S6" s="369"/>
      <c r="T6" s="369"/>
      <c r="U6" s="369"/>
      <c r="V6" s="369"/>
      <c r="W6" s="369"/>
      <c r="X6" s="369"/>
      <c r="Y6" s="369"/>
      <c r="Z6" s="369"/>
      <c r="AA6" s="369"/>
      <c r="AB6" s="369"/>
      <c r="AC6" s="369" t="str">
        <f aca="false">+HC!AC5</f>
        <v>LUZ</v>
      </c>
      <c r="AD6" s="369"/>
      <c r="AE6" s="369"/>
      <c r="AF6" s="369"/>
      <c r="AG6" s="369"/>
      <c r="AH6" s="369"/>
      <c r="AI6" s="369"/>
      <c r="AJ6" s="369"/>
      <c r="AK6" s="369"/>
      <c r="AL6" s="369"/>
      <c r="AM6" s="369"/>
      <c r="AN6" s="369"/>
      <c r="AO6" s="369"/>
      <c r="AP6" s="369" t="str">
        <f aca="false">+HC!AQ5</f>
        <v>EDELINA</v>
      </c>
      <c r="AQ6" s="369"/>
      <c r="AR6" s="369"/>
      <c r="AS6" s="369"/>
      <c r="AT6" s="369"/>
      <c r="AU6" s="369"/>
      <c r="AV6" s="369"/>
      <c r="AW6" s="369"/>
      <c r="AX6" s="369"/>
      <c r="AY6" s="369"/>
      <c r="AZ6" s="369" t="str">
        <f aca="false">+HC!BE5</f>
        <v>F</v>
      </c>
      <c r="BA6" s="369"/>
      <c r="BB6" s="369"/>
      <c r="BC6" s="370" t="n">
        <f aca="false">+HC!AZ3</f>
        <v>20346</v>
      </c>
      <c r="BD6" s="370"/>
      <c r="BE6" s="370"/>
      <c r="BF6" s="370"/>
      <c r="BG6" s="370"/>
      <c r="BH6" s="370"/>
      <c r="BI6" s="369" t="n">
        <f aca="false">+HC!BI5</f>
        <v>71</v>
      </c>
      <c r="BJ6" s="369"/>
      <c r="BK6" s="369"/>
      <c r="BL6" s="369"/>
      <c r="BM6" s="369"/>
      <c r="BN6" s="369"/>
      <c r="BO6" s="369"/>
      <c r="BP6" s="369"/>
      <c r="BQ6" s="369"/>
      <c r="BR6" s="371" t="s">
        <v>44</v>
      </c>
      <c r="BS6" s="371"/>
    </row>
    <row r="7" customFormat="false" ht="9.95" hidden="false" customHeight="true" outlineLevel="0" collapsed="false"/>
    <row r="8" customFormat="false" ht="16.5" hidden="false" customHeight="true" outlineLevel="0" collapsed="false">
      <c r="A8" s="2" t="s">
        <v>209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 customFormat="false" ht="12.75" hidden="false" customHeight="true" outlineLevel="0" collapsed="false">
      <c r="A9" s="124" t="s">
        <v>160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5" t="s">
        <v>161</v>
      </c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 t="s">
        <v>213</v>
      </c>
      <c r="AR9" s="125"/>
      <c r="AS9" s="125"/>
      <c r="AT9" s="125"/>
      <c r="AU9" s="125"/>
      <c r="AV9" s="125"/>
      <c r="AW9" s="125" t="s">
        <v>212</v>
      </c>
      <c r="AX9" s="125"/>
      <c r="AY9" s="125"/>
      <c r="AZ9" s="125"/>
      <c r="BA9" s="125"/>
      <c r="BB9" s="125"/>
      <c r="BC9" s="126" t="s">
        <v>211</v>
      </c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</row>
    <row r="10" customFormat="false" ht="18" hidden="false" customHeight="true" outlineLevel="0" collapsed="false">
      <c r="A10" s="372" t="s">
        <v>165</v>
      </c>
      <c r="B10" s="372"/>
      <c r="C10" s="372"/>
      <c r="D10" s="372"/>
      <c r="E10" s="372"/>
      <c r="F10" s="373"/>
      <c r="G10" s="373"/>
      <c r="H10" s="374" t="s">
        <v>166</v>
      </c>
      <c r="I10" s="374"/>
      <c r="J10" s="374"/>
      <c r="K10" s="374"/>
      <c r="L10" s="374"/>
      <c r="M10" s="374"/>
      <c r="N10" s="374"/>
      <c r="O10" s="373" t="s">
        <v>484</v>
      </c>
      <c r="P10" s="373"/>
      <c r="Q10" s="375" t="s">
        <v>167</v>
      </c>
      <c r="R10" s="375"/>
      <c r="S10" s="375"/>
      <c r="T10" s="375"/>
      <c r="U10" s="375"/>
      <c r="V10" s="375"/>
      <c r="W10" s="375"/>
      <c r="X10" s="373"/>
      <c r="Y10" s="373"/>
      <c r="Z10" s="376" t="s">
        <v>168</v>
      </c>
      <c r="AA10" s="376"/>
      <c r="AB10" s="376"/>
      <c r="AC10" s="376"/>
      <c r="AD10" s="376"/>
      <c r="AE10" s="376"/>
      <c r="AF10" s="376"/>
      <c r="AG10" s="376"/>
      <c r="AH10" s="376"/>
      <c r="AI10" s="376"/>
      <c r="AJ10" s="376"/>
      <c r="AK10" s="376"/>
      <c r="AL10" s="376"/>
      <c r="AM10" s="376"/>
      <c r="AN10" s="376"/>
      <c r="AO10" s="376"/>
      <c r="AP10" s="376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5" t="s">
        <v>164</v>
      </c>
      <c r="BD10" s="375"/>
      <c r="BE10" s="375"/>
      <c r="BF10" s="375"/>
      <c r="BG10" s="377"/>
      <c r="BH10" s="377"/>
      <c r="BI10" s="375" t="s">
        <v>214</v>
      </c>
      <c r="BJ10" s="375"/>
      <c r="BK10" s="375"/>
      <c r="BL10" s="377"/>
      <c r="BM10" s="377"/>
      <c r="BN10" s="375" t="s">
        <v>485</v>
      </c>
      <c r="BO10" s="375"/>
      <c r="BP10" s="375"/>
      <c r="BQ10" s="375"/>
      <c r="BR10" s="378" t="s">
        <v>484</v>
      </c>
      <c r="BS10" s="378"/>
    </row>
    <row r="11" customFormat="false" ht="9.95" hidden="false" customHeight="true" outlineLevel="0" collapsed="false">
      <c r="A11" s="379"/>
      <c r="B11" s="379"/>
      <c r="C11" s="379"/>
      <c r="D11" s="379"/>
      <c r="E11" s="379"/>
      <c r="F11" s="379"/>
      <c r="G11" s="379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C11" s="379"/>
      <c r="AD11" s="379"/>
      <c r="AE11" s="379"/>
      <c r="AF11" s="379"/>
      <c r="AG11" s="379"/>
      <c r="AH11" s="379"/>
      <c r="AI11" s="379"/>
      <c r="AJ11" s="379"/>
      <c r="AK11" s="379"/>
      <c r="AL11" s="379"/>
      <c r="AM11" s="379"/>
      <c r="AN11" s="379"/>
      <c r="AO11" s="379"/>
      <c r="AP11" s="379"/>
      <c r="AQ11" s="379"/>
      <c r="AR11" s="379"/>
      <c r="AS11" s="379"/>
      <c r="AT11" s="379"/>
      <c r="AU11" s="379"/>
      <c r="AV11" s="379"/>
      <c r="AW11" s="379"/>
      <c r="AX11" s="379"/>
      <c r="AY11" s="379"/>
      <c r="AZ11" s="379"/>
      <c r="BA11" s="379"/>
      <c r="BB11" s="379"/>
      <c r="BC11" s="379"/>
      <c r="BD11" s="379"/>
      <c r="BE11" s="379"/>
      <c r="BF11" s="379"/>
      <c r="BG11" s="379"/>
      <c r="BH11" s="379"/>
      <c r="BI11" s="379"/>
      <c r="BJ11" s="379"/>
      <c r="BK11" s="379"/>
      <c r="BL11" s="379"/>
      <c r="BM11" s="379"/>
      <c r="BN11" s="379"/>
      <c r="BO11" s="379"/>
      <c r="BP11" s="379"/>
      <c r="BQ11" s="379"/>
      <c r="BR11" s="379"/>
    </row>
    <row r="12" customFormat="false" ht="16.5" hidden="false" customHeight="true" outlineLevel="0" collapsed="false">
      <c r="A12" s="2" t="s">
        <v>486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 customFormat="false" ht="18" hidden="false" customHeight="true" outlineLevel="0" collapsed="false">
      <c r="A13" s="380" t="s">
        <v>487</v>
      </c>
      <c r="B13" s="380"/>
      <c r="C13" s="380"/>
      <c r="D13" s="380"/>
      <c r="E13" s="380"/>
      <c r="F13" s="380"/>
      <c r="G13" s="381"/>
      <c r="H13" s="381"/>
      <c r="I13" s="257" t="s">
        <v>488</v>
      </c>
      <c r="J13" s="257"/>
      <c r="K13" s="257"/>
      <c r="L13" s="257"/>
      <c r="M13" s="381"/>
      <c r="N13" s="381"/>
      <c r="O13" s="257" t="s">
        <v>489</v>
      </c>
      <c r="P13" s="257"/>
      <c r="Q13" s="257"/>
      <c r="R13" s="257"/>
      <c r="S13" s="257"/>
      <c r="T13" s="257"/>
      <c r="U13" s="381"/>
      <c r="V13" s="381"/>
      <c r="W13" s="257" t="s">
        <v>490</v>
      </c>
      <c r="X13" s="257"/>
      <c r="Y13" s="257"/>
      <c r="Z13" s="257"/>
      <c r="AA13" s="257"/>
      <c r="AB13" s="381"/>
      <c r="AC13" s="381"/>
      <c r="AD13" s="257" t="s">
        <v>491</v>
      </c>
      <c r="AE13" s="257"/>
      <c r="AF13" s="257"/>
      <c r="AG13" s="257"/>
      <c r="AH13" s="257"/>
      <c r="AI13" s="381"/>
      <c r="AJ13" s="381"/>
      <c r="AK13" s="130" t="s">
        <v>492</v>
      </c>
      <c r="AL13" s="130"/>
      <c r="AM13" s="130"/>
      <c r="AN13" s="130"/>
      <c r="AO13" s="130"/>
      <c r="AP13" s="130"/>
      <c r="AQ13" s="381"/>
      <c r="AR13" s="381"/>
      <c r="AS13" s="257" t="s">
        <v>493</v>
      </c>
      <c r="AT13" s="257"/>
      <c r="AU13" s="257"/>
      <c r="AV13" s="257"/>
      <c r="AW13" s="257"/>
      <c r="AX13" s="257"/>
      <c r="AY13" s="257"/>
      <c r="AZ13" s="381"/>
      <c r="BA13" s="381"/>
      <c r="BB13" s="257" t="s">
        <v>494</v>
      </c>
      <c r="BC13" s="257"/>
      <c r="BD13" s="257"/>
      <c r="BE13" s="381"/>
      <c r="BF13" s="381"/>
      <c r="BG13" s="162" t="s">
        <v>495</v>
      </c>
      <c r="BH13" s="162"/>
      <c r="BI13" s="162"/>
      <c r="BJ13" s="162"/>
      <c r="BK13" s="162"/>
      <c r="BL13" s="257" t="s">
        <v>169</v>
      </c>
      <c r="BM13" s="257"/>
      <c r="BN13" s="381"/>
      <c r="BO13" s="381"/>
      <c r="BP13" s="130" t="s">
        <v>170</v>
      </c>
      <c r="BQ13" s="130"/>
      <c r="BR13" s="382" t="s">
        <v>484</v>
      </c>
      <c r="BS13" s="382"/>
    </row>
    <row r="14" customFormat="false" ht="18" hidden="false" customHeight="true" outlineLevel="0" collapsed="false">
      <c r="A14" s="383" t="s">
        <v>496</v>
      </c>
      <c r="B14" s="383"/>
      <c r="C14" s="383"/>
      <c r="D14" s="383"/>
      <c r="E14" s="383"/>
      <c r="F14" s="383"/>
      <c r="G14" s="383"/>
      <c r="H14" s="383"/>
      <c r="I14" s="384"/>
      <c r="J14" s="384"/>
      <c r="K14" s="384"/>
      <c r="L14" s="384"/>
      <c r="M14" s="384"/>
      <c r="N14" s="384"/>
      <c r="O14" s="384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384"/>
      <c r="AB14" s="384"/>
      <c r="AC14" s="384"/>
      <c r="AD14" s="384"/>
      <c r="AE14" s="384"/>
      <c r="AF14" s="384"/>
      <c r="AG14" s="384"/>
      <c r="AH14" s="384"/>
      <c r="AI14" s="384"/>
      <c r="AJ14" s="384"/>
      <c r="AK14" s="384"/>
      <c r="AL14" s="384"/>
      <c r="AM14" s="384"/>
      <c r="AN14" s="384"/>
      <c r="AO14" s="384"/>
      <c r="AP14" s="384"/>
      <c r="AQ14" s="384"/>
      <c r="AR14" s="384"/>
      <c r="AS14" s="384"/>
      <c r="AT14" s="384"/>
      <c r="AU14" s="384"/>
      <c r="AV14" s="384"/>
      <c r="AW14" s="384"/>
      <c r="AX14" s="384"/>
      <c r="AY14" s="384"/>
      <c r="AZ14" s="384"/>
      <c r="BA14" s="384"/>
      <c r="BB14" s="384"/>
      <c r="BC14" s="384"/>
      <c r="BD14" s="384"/>
      <c r="BE14" s="384"/>
      <c r="BF14" s="384"/>
      <c r="BG14" s="384"/>
      <c r="BH14" s="384"/>
      <c r="BI14" s="384"/>
      <c r="BJ14" s="384"/>
      <c r="BK14" s="384"/>
      <c r="BL14" s="384"/>
      <c r="BM14" s="384"/>
      <c r="BN14" s="384"/>
      <c r="BO14" s="384"/>
      <c r="BP14" s="384"/>
      <c r="BQ14" s="384"/>
      <c r="BR14" s="384"/>
      <c r="BS14" s="384"/>
    </row>
    <row r="15" customFormat="false" ht="18" hidden="false" customHeight="true" outlineLevel="0" collapsed="false">
      <c r="A15" s="385"/>
      <c r="B15" s="385"/>
      <c r="C15" s="385"/>
      <c r="D15" s="385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385"/>
      <c r="AP15" s="385"/>
      <c r="AQ15" s="385"/>
      <c r="AR15" s="385"/>
      <c r="AS15" s="385"/>
      <c r="AT15" s="385"/>
      <c r="AU15" s="385"/>
      <c r="AV15" s="385"/>
      <c r="AW15" s="385"/>
      <c r="AX15" s="385"/>
      <c r="AY15" s="385"/>
      <c r="AZ15" s="385"/>
      <c r="BA15" s="385"/>
      <c r="BB15" s="385"/>
      <c r="BC15" s="385"/>
      <c r="BD15" s="385"/>
      <c r="BE15" s="385"/>
      <c r="BF15" s="385"/>
      <c r="BG15" s="385"/>
      <c r="BH15" s="385"/>
      <c r="BI15" s="385"/>
      <c r="BJ15" s="385"/>
      <c r="BK15" s="385"/>
      <c r="BL15" s="385"/>
      <c r="BM15" s="385"/>
      <c r="BN15" s="385"/>
      <c r="BO15" s="385"/>
      <c r="BP15" s="385"/>
      <c r="BQ15" s="385"/>
      <c r="BR15" s="385"/>
      <c r="BS15" s="385"/>
    </row>
    <row r="16" customFormat="false" ht="18" hidden="false" customHeight="true" outlineLevel="0" collapsed="false">
      <c r="A16" s="386" t="s">
        <v>497</v>
      </c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6"/>
      <c r="M16" s="386"/>
      <c r="N16" s="386"/>
      <c r="O16" s="386"/>
      <c r="P16" s="386"/>
      <c r="Q16" s="386"/>
      <c r="R16" s="386"/>
      <c r="S16" s="386"/>
      <c r="T16" s="386"/>
      <c r="U16" s="386"/>
      <c r="V16" s="386"/>
      <c r="W16" s="386"/>
      <c r="X16" s="386"/>
      <c r="Y16" s="386"/>
      <c r="Z16" s="386"/>
      <c r="AA16" s="386"/>
      <c r="AB16" s="386"/>
      <c r="AC16" s="386"/>
      <c r="AD16" s="386"/>
      <c r="AE16" s="386"/>
      <c r="AF16" s="386"/>
      <c r="AG16" s="386"/>
      <c r="AH16" s="386"/>
      <c r="AI16" s="386"/>
      <c r="AJ16" s="386"/>
      <c r="AK16" s="386"/>
      <c r="AL16" s="386"/>
      <c r="AM16" s="386"/>
      <c r="AN16" s="386"/>
      <c r="AO16" s="386"/>
      <c r="AP16" s="386"/>
      <c r="AQ16" s="386"/>
      <c r="AR16" s="386"/>
      <c r="AS16" s="386"/>
      <c r="AT16" s="386"/>
      <c r="AU16" s="386"/>
      <c r="AV16" s="386"/>
      <c r="AW16" s="386"/>
      <c r="AX16" s="386"/>
      <c r="AY16" s="386"/>
      <c r="AZ16" s="386"/>
      <c r="BA16" s="386"/>
      <c r="BB16" s="386"/>
      <c r="BC16" s="386"/>
      <c r="BD16" s="386"/>
      <c r="BE16" s="386"/>
      <c r="BF16" s="386"/>
      <c r="BG16" s="386"/>
      <c r="BH16" s="386"/>
      <c r="BI16" s="386"/>
      <c r="BJ16" s="386"/>
      <c r="BK16" s="386"/>
      <c r="BL16" s="386"/>
      <c r="BM16" s="386"/>
      <c r="BN16" s="386"/>
      <c r="BO16" s="386"/>
      <c r="BP16" s="386"/>
      <c r="BQ16" s="386"/>
      <c r="BR16" s="386"/>
      <c r="BS16" s="386"/>
    </row>
    <row r="17" customFormat="false" ht="9.95" hidden="false" customHeight="true" outlineLevel="0" collapsed="false"/>
    <row r="18" customFormat="false" ht="16.5" hidden="false" customHeight="true" outlineLevel="0" collapsed="false">
      <c r="A18" s="36" t="s">
        <v>498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58" t="s">
        <v>499</v>
      </c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customFormat="false" ht="17.1" hidden="false" customHeight="true" outlineLevel="0" collapsed="false">
      <c r="A19" s="161" t="s">
        <v>500</v>
      </c>
      <c r="B19" s="161"/>
      <c r="C19" s="161"/>
      <c r="D19" s="161"/>
      <c r="E19" s="161"/>
      <c r="F19" s="161"/>
      <c r="G19" s="161"/>
      <c r="H19" s="161"/>
      <c r="I19" s="161"/>
      <c r="J19" s="161"/>
      <c r="K19" s="387"/>
      <c r="L19" s="387"/>
      <c r="M19" s="387"/>
      <c r="N19" s="387"/>
      <c r="O19" s="387"/>
      <c r="P19" s="387"/>
      <c r="Q19" s="387"/>
      <c r="R19" s="387"/>
      <c r="S19" s="387"/>
      <c r="T19" s="387"/>
      <c r="U19" s="387"/>
      <c r="V19" s="387"/>
      <c r="W19" s="162" t="s">
        <v>501</v>
      </c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257" t="s">
        <v>169</v>
      </c>
      <c r="AL19" s="257"/>
      <c r="AM19" s="388"/>
      <c r="AN19" s="388"/>
      <c r="AO19" s="257" t="s">
        <v>170</v>
      </c>
      <c r="AP19" s="257"/>
      <c r="AQ19" s="388" t="s">
        <v>484</v>
      </c>
      <c r="AR19" s="388"/>
      <c r="AS19" s="389"/>
      <c r="AT19" s="389"/>
      <c r="AU19" s="389"/>
      <c r="AV19" s="389"/>
      <c r="AW19" s="389"/>
      <c r="AX19" s="389"/>
      <c r="AY19" s="389"/>
      <c r="AZ19" s="389"/>
      <c r="BA19" s="389"/>
      <c r="BB19" s="389"/>
      <c r="BC19" s="389"/>
      <c r="BD19" s="389"/>
      <c r="BE19" s="389"/>
      <c r="BF19" s="389"/>
      <c r="BG19" s="389"/>
      <c r="BH19" s="389"/>
      <c r="BI19" s="389"/>
      <c r="BJ19" s="389"/>
      <c r="BK19" s="389"/>
      <c r="BL19" s="389"/>
      <c r="BM19" s="389"/>
      <c r="BN19" s="389"/>
      <c r="BO19" s="389"/>
      <c r="BP19" s="389"/>
      <c r="BQ19" s="389"/>
      <c r="BR19" s="389"/>
      <c r="BS19" s="389"/>
    </row>
    <row r="20" customFormat="false" ht="15" hidden="false" customHeight="true" outlineLevel="0" collapsed="false">
      <c r="A20" s="390"/>
      <c r="B20" s="39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  <c r="W20" s="390"/>
      <c r="X20" s="390"/>
      <c r="Y20" s="390"/>
      <c r="Z20" s="390"/>
      <c r="AA20" s="390"/>
      <c r="AB20" s="390"/>
      <c r="AC20" s="390"/>
      <c r="AD20" s="390"/>
      <c r="AE20" s="390"/>
      <c r="AF20" s="390"/>
      <c r="AG20" s="390"/>
      <c r="AH20" s="390"/>
      <c r="AI20" s="390"/>
      <c r="AJ20" s="390"/>
      <c r="AK20" s="390"/>
      <c r="AL20" s="390"/>
      <c r="AM20" s="390"/>
      <c r="AN20" s="390"/>
      <c r="AO20" s="390"/>
      <c r="AP20" s="390"/>
      <c r="AQ20" s="390"/>
      <c r="AR20" s="390"/>
      <c r="AS20" s="390"/>
      <c r="AT20" s="390"/>
      <c r="AU20" s="390"/>
      <c r="AV20" s="390"/>
      <c r="AW20" s="390"/>
      <c r="AX20" s="390"/>
      <c r="AY20" s="390"/>
      <c r="AZ20" s="390"/>
      <c r="BA20" s="390"/>
      <c r="BB20" s="390"/>
      <c r="BC20" s="390"/>
      <c r="BD20" s="390"/>
      <c r="BE20" s="390"/>
      <c r="BF20" s="390"/>
      <c r="BG20" s="390"/>
      <c r="BH20" s="390"/>
      <c r="BI20" s="390"/>
      <c r="BJ20" s="390"/>
      <c r="BK20" s="390"/>
      <c r="BL20" s="390"/>
      <c r="BM20" s="390"/>
      <c r="BN20" s="390"/>
      <c r="BO20" s="390"/>
      <c r="BP20" s="390"/>
      <c r="BQ20" s="390"/>
      <c r="BR20" s="390"/>
      <c r="BS20" s="390"/>
    </row>
    <row r="21" customFormat="false" ht="18" hidden="false" customHeight="true" outlineLevel="0" collapsed="false">
      <c r="A21" s="391"/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1"/>
      <c r="N21" s="391"/>
      <c r="O21" s="391"/>
      <c r="P21" s="391"/>
      <c r="Q21" s="391"/>
      <c r="R21" s="391"/>
      <c r="S21" s="391"/>
      <c r="T21" s="391"/>
      <c r="U21" s="391"/>
      <c r="V21" s="391"/>
      <c r="W21" s="391"/>
      <c r="X21" s="391"/>
      <c r="Y21" s="391"/>
      <c r="Z21" s="391"/>
      <c r="AA21" s="391"/>
      <c r="AB21" s="391"/>
      <c r="AC21" s="391"/>
      <c r="AD21" s="391"/>
      <c r="AE21" s="391"/>
      <c r="AF21" s="391"/>
      <c r="AG21" s="391"/>
      <c r="AH21" s="391"/>
      <c r="AI21" s="391"/>
      <c r="AJ21" s="391"/>
      <c r="AK21" s="391"/>
      <c r="AL21" s="391"/>
      <c r="AM21" s="391"/>
      <c r="AN21" s="391"/>
      <c r="AO21" s="391"/>
      <c r="AP21" s="391"/>
      <c r="AQ21" s="391"/>
      <c r="AR21" s="391"/>
      <c r="AS21" s="391"/>
      <c r="AT21" s="391"/>
      <c r="AU21" s="391"/>
      <c r="AV21" s="391"/>
      <c r="AW21" s="391"/>
      <c r="AX21" s="391"/>
      <c r="AY21" s="391"/>
      <c r="AZ21" s="391"/>
      <c r="BA21" s="391"/>
      <c r="BB21" s="391"/>
      <c r="BC21" s="391"/>
      <c r="BD21" s="391"/>
      <c r="BE21" s="391"/>
      <c r="BF21" s="391"/>
      <c r="BG21" s="391"/>
      <c r="BH21" s="391"/>
      <c r="BI21" s="391"/>
      <c r="BJ21" s="391"/>
      <c r="BK21" s="391"/>
      <c r="BL21" s="391"/>
      <c r="BM21" s="391"/>
      <c r="BN21" s="391"/>
      <c r="BO21" s="391"/>
      <c r="BP21" s="391"/>
      <c r="BQ21" s="391"/>
      <c r="BR21" s="391"/>
      <c r="BS21" s="391"/>
    </row>
    <row r="22" customFormat="false" ht="18" hidden="false" customHeight="true" outlineLevel="0" collapsed="false">
      <c r="A22" s="386"/>
      <c r="B22" s="386"/>
      <c r="C22" s="386"/>
      <c r="D22" s="386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6"/>
      <c r="Q22" s="386"/>
      <c r="R22" s="386"/>
      <c r="S22" s="386"/>
      <c r="T22" s="386"/>
      <c r="U22" s="386"/>
      <c r="V22" s="386"/>
      <c r="W22" s="386"/>
      <c r="X22" s="386"/>
      <c r="Y22" s="386"/>
      <c r="Z22" s="386"/>
      <c r="AA22" s="386"/>
      <c r="AB22" s="386"/>
      <c r="AC22" s="386"/>
      <c r="AD22" s="386"/>
      <c r="AE22" s="386"/>
      <c r="AF22" s="386"/>
      <c r="AG22" s="386"/>
      <c r="AH22" s="386"/>
      <c r="AI22" s="386"/>
      <c r="AJ22" s="386"/>
      <c r="AK22" s="386"/>
      <c r="AL22" s="386"/>
      <c r="AM22" s="386"/>
      <c r="AN22" s="386"/>
      <c r="AO22" s="386"/>
      <c r="AP22" s="386"/>
      <c r="AQ22" s="386"/>
      <c r="AR22" s="386"/>
      <c r="AS22" s="386"/>
      <c r="AT22" s="386"/>
      <c r="AU22" s="386"/>
      <c r="AV22" s="386"/>
      <c r="AW22" s="386"/>
      <c r="AX22" s="386"/>
      <c r="AY22" s="386"/>
      <c r="AZ22" s="386"/>
      <c r="BA22" s="386"/>
      <c r="BB22" s="386"/>
      <c r="BC22" s="386"/>
      <c r="BD22" s="386"/>
      <c r="BE22" s="386"/>
      <c r="BF22" s="386"/>
      <c r="BG22" s="386"/>
      <c r="BH22" s="386"/>
      <c r="BI22" s="386"/>
      <c r="BJ22" s="386"/>
      <c r="BK22" s="386"/>
      <c r="BL22" s="386"/>
      <c r="BM22" s="386"/>
      <c r="BN22" s="386"/>
      <c r="BO22" s="386"/>
      <c r="BP22" s="386"/>
      <c r="BQ22" s="386"/>
      <c r="BR22" s="386"/>
      <c r="BS22" s="386"/>
    </row>
    <row r="23" customFormat="false" ht="9.95" hidden="false" customHeight="true" outlineLevel="0" collapsed="false">
      <c r="AG23" s="392"/>
    </row>
    <row r="24" customFormat="false" ht="16.5" hidden="false" customHeight="true" outlineLevel="0" collapsed="false">
      <c r="A24" s="36" t="s">
        <v>502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58" t="s">
        <v>503</v>
      </c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</row>
    <row r="25" customFormat="false" ht="126" hidden="false" customHeight="true" outlineLevel="0" collapsed="false">
      <c r="A25" s="393" t="n">
        <f aca="false">+HC!A24:BL24</f>
        <v>0</v>
      </c>
      <c r="B25" s="393"/>
      <c r="C25" s="393"/>
      <c r="D25" s="393"/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393"/>
      <c r="AD25" s="393"/>
      <c r="AE25" s="393"/>
      <c r="AF25" s="393"/>
      <c r="AG25" s="393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  <c r="AR25" s="393"/>
      <c r="AS25" s="393"/>
      <c r="AT25" s="393"/>
      <c r="AU25" s="393"/>
      <c r="AV25" s="393"/>
      <c r="AW25" s="393"/>
      <c r="AX25" s="393"/>
      <c r="AY25" s="393"/>
      <c r="AZ25" s="393"/>
      <c r="BA25" s="393"/>
      <c r="BB25" s="393"/>
      <c r="BC25" s="393"/>
      <c r="BD25" s="393"/>
      <c r="BE25" s="393"/>
      <c r="BF25" s="393"/>
      <c r="BG25" s="393"/>
      <c r="BH25" s="393"/>
      <c r="BI25" s="393"/>
      <c r="BJ25" s="393"/>
      <c r="BK25" s="393"/>
      <c r="BL25" s="393"/>
      <c r="BM25" s="393"/>
      <c r="BN25" s="393"/>
      <c r="BO25" s="393"/>
      <c r="BP25" s="393"/>
      <c r="BQ25" s="393"/>
      <c r="BR25" s="393"/>
      <c r="BS25" s="393"/>
    </row>
    <row r="26" customFormat="false" ht="18" hidden="false" customHeight="true" outlineLevel="0" collapsed="false">
      <c r="A26" s="394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Z26" s="394"/>
      <c r="AA26" s="394"/>
      <c r="AB26" s="394"/>
      <c r="AC26" s="394"/>
      <c r="AD26" s="394"/>
      <c r="AE26" s="394"/>
      <c r="AF26" s="394"/>
      <c r="AG26" s="394"/>
      <c r="AH26" s="394"/>
      <c r="AI26" s="394"/>
      <c r="AJ26" s="394"/>
      <c r="AK26" s="394"/>
      <c r="AL26" s="394"/>
      <c r="AM26" s="394"/>
      <c r="AN26" s="394"/>
      <c r="AO26" s="394"/>
      <c r="AP26" s="394"/>
      <c r="AQ26" s="394"/>
      <c r="AR26" s="394"/>
      <c r="AS26" s="394"/>
      <c r="AT26" s="394"/>
      <c r="AU26" s="394"/>
      <c r="AV26" s="394"/>
      <c r="AW26" s="394"/>
      <c r="AX26" s="394"/>
      <c r="AY26" s="394"/>
      <c r="AZ26" s="394"/>
      <c r="BA26" s="394"/>
      <c r="BB26" s="394"/>
      <c r="BC26" s="394"/>
      <c r="BD26" s="394"/>
      <c r="BE26" s="394"/>
      <c r="BF26" s="394"/>
      <c r="BG26" s="394"/>
      <c r="BH26" s="394"/>
      <c r="BI26" s="394"/>
      <c r="BJ26" s="394"/>
      <c r="BK26" s="394"/>
      <c r="BL26" s="394"/>
      <c r="BM26" s="394"/>
      <c r="BN26" s="394"/>
      <c r="BO26" s="394"/>
      <c r="BP26" s="394"/>
      <c r="BQ26" s="394"/>
      <c r="BR26" s="394"/>
      <c r="BS26" s="394"/>
    </row>
    <row r="27" customFormat="false" ht="9.95" hidden="false" customHeight="true" outlineLevel="0" collapsed="false">
      <c r="AJ27" s="395"/>
      <c r="AK27" s="395"/>
      <c r="AL27" s="395"/>
      <c r="AM27" s="395"/>
      <c r="AN27" s="395"/>
    </row>
    <row r="28" customFormat="false" ht="16.5" hidden="false" customHeight="true" outlineLevel="0" collapsed="false">
      <c r="A28" s="36" t="s">
        <v>504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96" t="s">
        <v>505</v>
      </c>
      <c r="U28" s="396"/>
      <c r="V28" s="396"/>
      <c r="W28" s="396"/>
      <c r="X28" s="396"/>
      <c r="Y28" s="396"/>
      <c r="Z28" s="396"/>
      <c r="AA28" s="396"/>
      <c r="AB28" s="396"/>
      <c r="AC28" s="397" t="s">
        <v>129</v>
      </c>
      <c r="AD28" s="397"/>
      <c r="AE28" s="397"/>
      <c r="AF28" s="397"/>
      <c r="AG28" s="398" t="s">
        <v>130</v>
      </c>
      <c r="AH28" s="398"/>
      <c r="AI28" s="398" t="s">
        <v>131</v>
      </c>
      <c r="AJ28" s="398"/>
      <c r="AK28" s="399"/>
      <c r="AL28" s="399"/>
      <c r="AM28" s="399"/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399"/>
      <c r="BK28" s="399"/>
      <c r="BL28" s="397" t="s">
        <v>129</v>
      </c>
      <c r="BM28" s="397"/>
      <c r="BN28" s="397"/>
      <c r="BO28" s="397"/>
      <c r="BP28" s="398" t="s">
        <v>130</v>
      </c>
      <c r="BQ28" s="398"/>
      <c r="BR28" s="400" t="s">
        <v>131</v>
      </c>
      <c r="BS28" s="400"/>
    </row>
    <row r="29" customFormat="false" ht="15" hidden="false" customHeight="true" outlineLevel="0" collapsed="false">
      <c r="A29" s="150" t="s">
        <v>132</v>
      </c>
      <c r="B29" s="401" t="str">
        <f aca="false">IF(HC!B47=0," ",HC!B47)</f>
        <v> </v>
      </c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01"/>
      <c r="AA29" s="401"/>
      <c r="AB29" s="401"/>
      <c r="AC29" s="401" t="str">
        <f aca="false">IF(HC!Y47=0," ",HC!Y47)</f>
        <v> </v>
      </c>
      <c r="AD29" s="401"/>
      <c r="AE29" s="401"/>
      <c r="AF29" s="401"/>
      <c r="AG29" s="381" t="str">
        <f aca="false">IF(HC!AC47=0," ",HC!AC47)</f>
        <v> </v>
      </c>
      <c r="AH29" s="381"/>
      <c r="AI29" s="381" t="str">
        <f aca="false">IF(HC!AE47=0," ",HC!AE47)</f>
        <v> </v>
      </c>
      <c r="AJ29" s="381"/>
      <c r="AK29" s="98" t="s">
        <v>133</v>
      </c>
      <c r="AL29" s="401" t="str">
        <f aca="false">IF(HC!AH47=0," ",HC!AH47)</f>
        <v> </v>
      </c>
      <c r="AM29" s="401"/>
      <c r="AN29" s="401"/>
      <c r="AO29" s="401"/>
      <c r="AP29" s="401"/>
      <c r="AQ29" s="401"/>
      <c r="AR29" s="401"/>
      <c r="AS29" s="401"/>
      <c r="AT29" s="401"/>
      <c r="AU29" s="401"/>
      <c r="AV29" s="401"/>
      <c r="AW29" s="401"/>
      <c r="AX29" s="401"/>
      <c r="AY29" s="401"/>
      <c r="AZ29" s="401"/>
      <c r="BA29" s="401"/>
      <c r="BB29" s="401"/>
      <c r="BC29" s="401"/>
      <c r="BD29" s="401"/>
      <c r="BE29" s="401"/>
      <c r="BF29" s="401"/>
      <c r="BG29" s="401"/>
      <c r="BH29" s="401"/>
      <c r="BI29" s="401"/>
      <c r="BJ29" s="401"/>
      <c r="BK29" s="401"/>
      <c r="BL29" s="401" t="str">
        <f aca="false">IF(HC!BE47=0," ",HC!BE47)</f>
        <v> </v>
      </c>
      <c r="BM29" s="401"/>
      <c r="BN29" s="401"/>
      <c r="BO29" s="401"/>
      <c r="BP29" s="381" t="str">
        <f aca="false">IF(HC!BI47=0," ",HC!BI47)</f>
        <v> </v>
      </c>
      <c r="BQ29" s="381"/>
      <c r="BR29" s="382" t="str">
        <f aca="false">IF(HC!BK47=0," ",HC!BK47)</f>
        <v> </v>
      </c>
      <c r="BS29" s="382"/>
    </row>
    <row r="30" customFormat="false" ht="15" hidden="false" customHeight="true" outlineLevel="0" collapsed="false">
      <c r="A30" s="150" t="s">
        <v>134</v>
      </c>
      <c r="B30" s="401" t="str">
        <f aca="false">IF(HC!B48=0," ",HC!B48)</f>
        <v> </v>
      </c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X30" s="401"/>
      <c r="Y30" s="401"/>
      <c r="Z30" s="401"/>
      <c r="AA30" s="401"/>
      <c r="AB30" s="401"/>
      <c r="AC30" s="401" t="str">
        <f aca="false">IF(HC!Y48=0," ",HC!Y48)</f>
        <v> </v>
      </c>
      <c r="AD30" s="401"/>
      <c r="AE30" s="401"/>
      <c r="AF30" s="401"/>
      <c r="AG30" s="381" t="str">
        <f aca="false">IF(HC!AC48=0," ",HC!AC48)</f>
        <v> </v>
      </c>
      <c r="AH30" s="381"/>
      <c r="AI30" s="381" t="str">
        <f aca="false">IF(HC!AE48=0," ",HC!AE48)</f>
        <v> </v>
      </c>
      <c r="AJ30" s="381"/>
      <c r="AK30" s="98" t="s">
        <v>135</v>
      </c>
      <c r="AL30" s="401" t="str">
        <f aca="false">IF(HC!AH48=0," ",HC!AH48)</f>
        <v> </v>
      </c>
      <c r="AM30" s="401"/>
      <c r="AN30" s="401"/>
      <c r="AO30" s="401"/>
      <c r="AP30" s="401"/>
      <c r="AQ30" s="401"/>
      <c r="AR30" s="401"/>
      <c r="AS30" s="401"/>
      <c r="AT30" s="401"/>
      <c r="AU30" s="401"/>
      <c r="AV30" s="401"/>
      <c r="AW30" s="401"/>
      <c r="AX30" s="401"/>
      <c r="AY30" s="401"/>
      <c r="AZ30" s="401"/>
      <c r="BA30" s="401"/>
      <c r="BB30" s="401"/>
      <c r="BC30" s="401"/>
      <c r="BD30" s="401"/>
      <c r="BE30" s="401"/>
      <c r="BF30" s="401"/>
      <c r="BG30" s="401"/>
      <c r="BH30" s="401"/>
      <c r="BI30" s="401"/>
      <c r="BJ30" s="401"/>
      <c r="BK30" s="401"/>
      <c r="BL30" s="401" t="str">
        <f aca="false">IF(HC!BE48=0," ",HC!BE48)</f>
        <v> </v>
      </c>
      <c r="BM30" s="401"/>
      <c r="BN30" s="401"/>
      <c r="BO30" s="401"/>
      <c r="BP30" s="381" t="str">
        <f aca="false">IF(HC!BI48=0," ",HC!BI48)</f>
        <v> </v>
      </c>
      <c r="BQ30" s="381"/>
      <c r="BR30" s="382" t="str">
        <f aca="false">IF(HC!BK48=0," ",HC!BK48)</f>
        <v> </v>
      </c>
      <c r="BS30" s="382"/>
    </row>
    <row r="31" customFormat="false" ht="15" hidden="false" customHeight="true" outlineLevel="0" collapsed="false">
      <c r="A31" s="153" t="s">
        <v>136</v>
      </c>
      <c r="B31" s="402" t="str">
        <f aca="false">IF(HC!B49=0," ",HC!B49)</f>
        <v> </v>
      </c>
      <c r="C31" s="402"/>
      <c r="D31" s="402"/>
      <c r="E31" s="402"/>
      <c r="F31" s="402"/>
      <c r="G31" s="402"/>
      <c r="H31" s="402"/>
      <c r="I31" s="402"/>
      <c r="J31" s="402"/>
      <c r="K31" s="402"/>
      <c r="L31" s="402"/>
      <c r="M31" s="402"/>
      <c r="N31" s="402"/>
      <c r="O31" s="402"/>
      <c r="P31" s="402"/>
      <c r="Q31" s="402"/>
      <c r="R31" s="402"/>
      <c r="S31" s="402"/>
      <c r="T31" s="402"/>
      <c r="U31" s="402"/>
      <c r="V31" s="402"/>
      <c r="W31" s="402"/>
      <c r="X31" s="402"/>
      <c r="Y31" s="402"/>
      <c r="Z31" s="402"/>
      <c r="AA31" s="402"/>
      <c r="AB31" s="402"/>
      <c r="AC31" s="402" t="str">
        <f aca="false">IF(HC!Y49=0," ",HC!Y49)</f>
        <v> </v>
      </c>
      <c r="AD31" s="402"/>
      <c r="AE31" s="402"/>
      <c r="AF31" s="402"/>
      <c r="AG31" s="373" t="str">
        <f aca="false">IF(HC!AC49=0," ",HC!AC49)</f>
        <v> </v>
      </c>
      <c r="AH31" s="373"/>
      <c r="AI31" s="373" t="str">
        <f aca="false">IF(HC!AE49=0," ",HC!AE49)</f>
        <v> </v>
      </c>
      <c r="AJ31" s="373"/>
      <c r="AK31" s="156" t="s">
        <v>137</v>
      </c>
      <c r="AL31" s="402" t="str">
        <f aca="false">IF(HC!AH49=0," ",HC!AH49)</f>
        <v> </v>
      </c>
      <c r="AM31" s="402"/>
      <c r="AN31" s="402"/>
      <c r="AO31" s="402"/>
      <c r="AP31" s="402"/>
      <c r="AQ31" s="402"/>
      <c r="AR31" s="402"/>
      <c r="AS31" s="402"/>
      <c r="AT31" s="402"/>
      <c r="AU31" s="402"/>
      <c r="AV31" s="402"/>
      <c r="AW31" s="402"/>
      <c r="AX31" s="402"/>
      <c r="AY31" s="402"/>
      <c r="AZ31" s="402"/>
      <c r="BA31" s="402"/>
      <c r="BB31" s="402"/>
      <c r="BC31" s="402"/>
      <c r="BD31" s="402"/>
      <c r="BE31" s="402"/>
      <c r="BF31" s="402"/>
      <c r="BG31" s="402"/>
      <c r="BH31" s="402"/>
      <c r="BI31" s="402"/>
      <c r="BJ31" s="402"/>
      <c r="BK31" s="402"/>
      <c r="BL31" s="402" t="str">
        <f aca="false">IF(HC!BE49=0," ",HC!BE49)</f>
        <v> </v>
      </c>
      <c r="BM31" s="402"/>
      <c r="BN31" s="402"/>
      <c r="BO31" s="402"/>
      <c r="BP31" s="373" t="str">
        <f aca="false">IF(HC!BI49=0," ",HC!BI49)</f>
        <v> </v>
      </c>
      <c r="BQ31" s="373"/>
      <c r="BR31" s="403" t="str">
        <f aca="false">IF(HC!BK49=0," ",HC!BK49)</f>
        <v> </v>
      </c>
      <c r="BS31" s="403"/>
    </row>
    <row r="32" customFormat="false" ht="9.95" hidden="false" customHeight="true" outlineLevel="0" collapsed="false">
      <c r="AJ32" s="395"/>
      <c r="AK32" s="395"/>
      <c r="AL32" s="395"/>
      <c r="AM32" s="395"/>
      <c r="AN32" s="395"/>
    </row>
    <row r="33" customFormat="false" ht="16.5" hidden="false" customHeight="true" outlineLevel="0" collapsed="false">
      <c r="A33" s="2" t="s">
        <v>179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</row>
    <row r="34" customFormat="false" ht="18" hidden="false" customHeight="true" outlineLevel="0" collapsed="false">
      <c r="A34" s="161" t="s">
        <v>180</v>
      </c>
      <c r="B34" s="161"/>
      <c r="C34" s="161"/>
      <c r="D34" s="161"/>
      <c r="E34" s="161"/>
      <c r="F34" s="161"/>
      <c r="G34" s="161"/>
      <c r="H34" s="161"/>
      <c r="I34" s="162" t="s">
        <v>181</v>
      </c>
      <c r="J34" s="162"/>
      <c r="K34" s="162"/>
      <c r="L34" s="162"/>
      <c r="M34" s="162"/>
      <c r="N34" s="162"/>
      <c r="O34" s="162"/>
      <c r="P34" s="162" t="s">
        <v>12</v>
      </c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 t="s">
        <v>10</v>
      </c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3" t="s">
        <v>11</v>
      </c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</row>
    <row r="35" customFormat="false" ht="20.1" hidden="false" customHeight="true" outlineLevel="0" collapsed="false">
      <c r="A35" s="109" t="n">
        <f aca="true">+TODAY()</f>
        <v>46297</v>
      </c>
      <c r="B35" s="109"/>
      <c r="C35" s="109"/>
      <c r="D35" s="109"/>
      <c r="E35" s="109"/>
      <c r="F35" s="109"/>
      <c r="G35" s="109"/>
      <c r="H35" s="109"/>
      <c r="I35" s="404" t="n">
        <f aca="true">+NOW()</f>
        <v>46297.8549938957</v>
      </c>
      <c r="J35" s="404"/>
      <c r="K35" s="404"/>
      <c r="L35" s="404"/>
      <c r="M35" s="404"/>
      <c r="N35" s="404"/>
      <c r="O35" s="404"/>
      <c r="P35" s="53" t="str">
        <f aca="false">+HC!O61</f>
        <v>FRANK</v>
      </c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 t="str">
        <f aca="false">+HC!AH61</f>
        <v>MEDINA</v>
      </c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4" t="str">
        <f aca="false">+HC!AY61</f>
        <v>ALI</v>
      </c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</row>
    <row r="36" customFormat="false" ht="18" hidden="false" customHeight="true" outlineLevel="0" collapsed="false">
      <c r="A36" s="161" t="s">
        <v>147</v>
      </c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2" t="s">
        <v>148</v>
      </c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3" t="s">
        <v>149</v>
      </c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</row>
    <row r="37" customFormat="false" ht="39.95" hidden="false" customHeight="true" outlineLevel="0" collapsed="false">
      <c r="A37" s="165" t="n">
        <f aca="false">+HC!A63</f>
        <v>1756930234</v>
      </c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</row>
    <row r="38" customFormat="false" ht="9.95" hidden="false" customHeight="true" outlineLevel="0" collapsed="false">
      <c r="A38" s="405"/>
      <c r="B38" s="405"/>
      <c r="C38" s="405"/>
      <c r="D38" s="405"/>
      <c r="E38" s="405"/>
      <c r="F38" s="30"/>
      <c r="G38" s="30"/>
      <c r="H38" s="30"/>
      <c r="I38" s="30"/>
      <c r="J38" s="30"/>
      <c r="K38" s="405"/>
      <c r="L38" s="405"/>
      <c r="M38" s="405"/>
      <c r="N38" s="30"/>
      <c r="O38" s="30"/>
      <c r="P38" s="30"/>
      <c r="Q38" s="30"/>
      <c r="R38" s="30"/>
      <c r="S38" s="405"/>
      <c r="T38" s="405"/>
      <c r="U38" s="405"/>
      <c r="V38" s="405"/>
      <c r="W38" s="405"/>
      <c r="X38" s="405"/>
      <c r="Y38" s="406"/>
      <c r="Z38" s="406"/>
      <c r="AA38" s="406"/>
      <c r="AB38" s="406"/>
      <c r="AC38" s="406"/>
      <c r="AD38" s="406"/>
      <c r="AE38" s="406"/>
      <c r="AF38" s="406"/>
      <c r="AG38" s="406"/>
      <c r="AH38" s="406"/>
      <c r="AI38" s="406"/>
      <c r="AJ38" s="406"/>
      <c r="AK38" s="406"/>
      <c r="AL38" s="406"/>
      <c r="AM38" s="406"/>
      <c r="AN38" s="406"/>
      <c r="AO38" s="405"/>
      <c r="AP38" s="405"/>
      <c r="AQ38" s="405"/>
      <c r="AR38" s="405"/>
      <c r="AS38" s="406"/>
      <c r="AT38" s="406"/>
      <c r="AU38" s="406"/>
      <c r="AV38" s="406"/>
      <c r="AW38" s="406"/>
      <c r="AX38" s="406"/>
      <c r="AY38" s="406"/>
      <c r="AZ38" s="406"/>
      <c r="BA38" s="406"/>
      <c r="BB38" s="406"/>
      <c r="BC38" s="406"/>
      <c r="BD38" s="406"/>
      <c r="BE38" s="406"/>
      <c r="BF38" s="406"/>
      <c r="BG38" s="406"/>
      <c r="BH38" s="406"/>
      <c r="BI38" s="406"/>
      <c r="BJ38" s="405"/>
      <c r="BK38" s="405"/>
      <c r="BL38" s="405"/>
      <c r="BM38" s="405"/>
      <c r="BN38" s="405"/>
      <c r="BO38" s="405"/>
      <c r="BP38" s="405"/>
      <c r="BQ38" s="30"/>
      <c r="BR38" s="30"/>
    </row>
    <row r="39" customFormat="false" ht="18" hidden="false" customHeight="true" outlineLevel="0" collapsed="false">
      <c r="A39" s="407" t="s">
        <v>506</v>
      </c>
      <c r="B39" s="407"/>
      <c r="C39" s="407"/>
      <c r="D39" s="407"/>
      <c r="E39" s="407"/>
      <c r="F39" s="407"/>
      <c r="G39" s="407"/>
      <c r="H39" s="407"/>
      <c r="I39" s="407"/>
      <c r="J39" s="407"/>
      <c r="K39" s="407"/>
      <c r="L39" s="407"/>
      <c r="M39" s="407"/>
      <c r="N39" s="407"/>
      <c r="O39" s="407"/>
      <c r="P39" s="407"/>
      <c r="Q39" s="407"/>
      <c r="R39" s="407"/>
      <c r="S39" s="407"/>
      <c r="T39" s="407"/>
      <c r="U39" s="407"/>
      <c r="V39" s="407"/>
      <c r="W39" s="407"/>
      <c r="X39" s="407"/>
      <c r="Y39" s="407"/>
      <c r="Z39" s="407"/>
      <c r="AA39" s="407"/>
      <c r="AB39" s="407"/>
      <c r="AC39" s="407"/>
      <c r="AD39" s="407"/>
      <c r="AE39" s="407"/>
      <c r="AF39" s="407"/>
      <c r="AG39" s="408" t="s">
        <v>507</v>
      </c>
      <c r="AH39" s="408"/>
      <c r="AI39" s="408"/>
      <c r="AJ39" s="408"/>
      <c r="AK39" s="408"/>
      <c r="AL39" s="408"/>
      <c r="AM39" s="408"/>
      <c r="AN39" s="408"/>
      <c r="AO39" s="408"/>
      <c r="AP39" s="408"/>
      <c r="AQ39" s="408"/>
      <c r="AR39" s="408"/>
      <c r="AS39" s="408"/>
      <c r="AT39" s="408"/>
      <c r="AU39" s="408"/>
      <c r="AV39" s="408"/>
      <c r="AW39" s="408"/>
      <c r="AX39" s="408"/>
      <c r="AY39" s="408"/>
      <c r="AZ39" s="408"/>
      <c r="BA39" s="408"/>
      <c r="BB39" s="408"/>
      <c r="BC39" s="408"/>
      <c r="BD39" s="408"/>
      <c r="BE39" s="408"/>
      <c r="BF39" s="408"/>
      <c r="BG39" s="408"/>
      <c r="BH39" s="408"/>
      <c r="BI39" s="408"/>
      <c r="BJ39" s="408"/>
      <c r="BK39" s="408"/>
      <c r="BL39" s="408"/>
      <c r="BM39" s="408"/>
      <c r="BN39" s="408"/>
      <c r="BO39" s="408"/>
      <c r="BP39" s="408"/>
      <c r="BQ39" s="408"/>
      <c r="BR39" s="408"/>
      <c r="BS39" s="408"/>
    </row>
    <row r="41" customFormat="false" ht="12.75" hidden="false" customHeight="true" outlineLevel="0" collapsed="false">
      <c r="A41" s="409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09"/>
      <c r="R41" s="409"/>
      <c r="S41" s="409"/>
      <c r="T41" s="409"/>
      <c r="U41" s="409"/>
      <c r="V41" s="409"/>
      <c r="W41" s="409"/>
      <c r="X41" s="409"/>
      <c r="Y41" s="409"/>
      <c r="Z41" s="409"/>
      <c r="AA41" s="409"/>
      <c r="AB41" s="409"/>
      <c r="AC41" s="409"/>
      <c r="AD41" s="409"/>
      <c r="AE41" s="409"/>
      <c r="AF41" s="409"/>
      <c r="AG41" s="409"/>
      <c r="AH41" s="409"/>
      <c r="AI41" s="409"/>
      <c r="AJ41" s="409"/>
      <c r="AK41" s="409"/>
      <c r="AL41" s="409"/>
      <c r="AM41" s="409"/>
      <c r="AN41" s="409"/>
      <c r="AO41" s="409"/>
      <c r="AP41" s="409"/>
      <c r="AQ41" s="409"/>
      <c r="AR41" s="409"/>
      <c r="AS41" s="409"/>
      <c r="AT41" s="409"/>
      <c r="AU41" s="409"/>
      <c r="AV41" s="409"/>
      <c r="AW41" s="409"/>
      <c r="AX41" s="409"/>
      <c r="AY41" s="409"/>
      <c r="AZ41" s="409"/>
      <c r="BA41" s="409"/>
      <c r="BB41" s="409"/>
      <c r="BC41" s="409"/>
      <c r="BD41" s="409"/>
      <c r="BE41" s="409"/>
      <c r="BF41" s="409"/>
      <c r="BG41" s="409"/>
      <c r="BH41" s="409"/>
      <c r="BI41" s="409"/>
      <c r="BJ41" s="409"/>
      <c r="BK41" s="409"/>
      <c r="BL41" s="409"/>
      <c r="BM41" s="409"/>
      <c r="BN41" s="409"/>
      <c r="BO41" s="409"/>
      <c r="BP41" s="409"/>
      <c r="BQ41" s="409"/>
      <c r="BR41" s="409"/>
    </row>
  </sheetData>
  <mergeCells count="152">
    <mergeCell ref="A1:BS1"/>
    <mergeCell ref="A2:O2"/>
    <mergeCell ref="P2:U2"/>
    <mergeCell ref="V2:AM2"/>
    <mergeCell ref="AN2:BE2"/>
    <mergeCell ref="BF2:BS2"/>
    <mergeCell ref="A3:O3"/>
    <mergeCell ref="P3:U3"/>
    <mergeCell ref="V3:AM3"/>
    <mergeCell ref="AN3:BE3"/>
    <mergeCell ref="BF3:BS3"/>
    <mergeCell ref="A4:O5"/>
    <mergeCell ref="P4:AB5"/>
    <mergeCell ref="AC4:AO5"/>
    <mergeCell ref="AP4:AY5"/>
    <mergeCell ref="AZ4:BB5"/>
    <mergeCell ref="BC4:BH5"/>
    <mergeCell ref="BI4:BK5"/>
    <mergeCell ref="BL4:BS4"/>
    <mergeCell ref="BL5:BM5"/>
    <mergeCell ref="BN5:BO5"/>
    <mergeCell ref="BP5:BQ5"/>
    <mergeCell ref="BR5:BS5"/>
    <mergeCell ref="A6:O6"/>
    <mergeCell ref="P6:AB6"/>
    <mergeCell ref="AC6:AO6"/>
    <mergeCell ref="AP6:AY6"/>
    <mergeCell ref="AZ6:BB6"/>
    <mergeCell ref="BC6:BH6"/>
    <mergeCell ref="BI6:BK6"/>
    <mergeCell ref="BL6:BM6"/>
    <mergeCell ref="BN6:BO6"/>
    <mergeCell ref="BP6:BQ6"/>
    <mergeCell ref="BR6:BS6"/>
    <mergeCell ref="A8:BS8"/>
    <mergeCell ref="A9:Y9"/>
    <mergeCell ref="Z9:AP9"/>
    <mergeCell ref="AQ9:AV9"/>
    <mergeCell ref="AW9:BB9"/>
    <mergeCell ref="BC9:BS9"/>
    <mergeCell ref="A10:E10"/>
    <mergeCell ref="F10:G10"/>
    <mergeCell ref="H10:N10"/>
    <mergeCell ref="O10:P10"/>
    <mergeCell ref="Q10:W10"/>
    <mergeCell ref="X10:Y10"/>
    <mergeCell ref="Z10:AP10"/>
    <mergeCell ref="AQ10:AV10"/>
    <mergeCell ref="AW10:BB10"/>
    <mergeCell ref="BC10:BF10"/>
    <mergeCell ref="BG10:BH10"/>
    <mergeCell ref="BI10:BK10"/>
    <mergeCell ref="BL10:BM10"/>
    <mergeCell ref="BN10:BQ10"/>
    <mergeCell ref="BR10:BS10"/>
    <mergeCell ref="A11:BR11"/>
    <mergeCell ref="A12:BS12"/>
    <mergeCell ref="A13:F13"/>
    <mergeCell ref="G13:H13"/>
    <mergeCell ref="I13:L13"/>
    <mergeCell ref="M13:N13"/>
    <mergeCell ref="O13:T13"/>
    <mergeCell ref="U13:V13"/>
    <mergeCell ref="W13:AA13"/>
    <mergeCell ref="AB13:AC13"/>
    <mergeCell ref="AD13:AH13"/>
    <mergeCell ref="AI13:AJ13"/>
    <mergeCell ref="AK13:AP13"/>
    <mergeCell ref="AQ13:AR13"/>
    <mergeCell ref="AS13:AY13"/>
    <mergeCell ref="AZ13:BA13"/>
    <mergeCell ref="BB13:BD13"/>
    <mergeCell ref="BE13:BF13"/>
    <mergeCell ref="BG13:BK13"/>
    <mergeCell ref="BL13:BM13"/>
    <mergeCell ref="BN13:BO13"/>
    <mergeCell ref="BP13:BQ13"/>
    <mergeCell ref="BR13:BS13"/>
    <mergeCell ref="A14:H14"/>
    <mergeCell ref="I14:BS14"/>
    <mergeCell ref="A15:BS15"/>
    <mergeCell ref="A16:BS16"/>
    <mergeCell ref="A18:AN18"/>
    <mergeCell ref="AO18:BS18"/>
    <mergeCell ref="A19:J19"/>
    <mergeCell ref="K19:V19"/>
    <mergeCell ref="W19:AJ19"/>
    <mergeCell ref="AK19:AL19"/>
    <mergeCell ref="AM19:AN19"/>
    <mergeCell ref="AO19:AP19"/>
    <mergeCell ref="AQ19:AR19"/>
    <mergeCell ref="AS19:BS19"/>
    <mergeCell ref="A20:BS20"/>
    <mergeCell ref="A21:BS21"/>
    <mergeCell ref="A22:BS22"/>
    <mergeCell ref="A24:AB24"/>
    <mergeCell ref="AC24:BS24"/>
    <mergeCell ref="A25:BS25"/>
    <mergeCell ref="A26:BS26"/>
    <mergeCell ref="A28:S28"/>
    <mergeCell ref="T28:AB28"/>
    <mergeCell ref="AC28:AF28"/>
    <mergeCell ref="AG28:AH28"/>
    <mergeCell ref="AI28:AJ28"/>
    <mergeCell ref="AK28:BK28"/>
    <mergeCell ref="BL28:BO28"/>
    <mergeCell ref="BP28:BQ28"/>
    <mergeCell ref="BR28:BS28"/>
    <mergeCell ref="B29:AB29"/>
    <mergeCell ref="AC29:AF29"/>
    <mergeCell ref="AG29:AH29"/>
    <mergeCell ref="AI29:AJ29"/>
    <mergeCell ref="AL29:BK29"/>
    <mergeCell ref="BL29:BO29"/>
    <mergeCell ref="BP29:BQ29"/>
    <mergeCell ref="BR29:BS29"/>
    <mergeCell ref="B30:AB30"/>
    <mergeCell ref="AC30:AF30"/>
    <mergeCell ref="AG30:AH30"/>
    <mergeCell ref="AI30:AJ30"/>
    <mergeCell ref="AL30:BK30"/>
    <mergeCell ref="BL30:BO30"/>
    <mergeCell ref="BP30:BQ30"/>
    <mergeCell ref="BR30:BS30"/>
    <mergeCell ref="B31:AB31"/>
    <mergeCell ref="AC31:AF31"/>
    <mergeCell ref="AG31:AH31"/>
    <mergeCell ref="AI31:AJ31"/>
    <mergeCell ref="AL31:BK31"/>
    <mergeCell ref="BL31:BO31"/>
    <mergeCell ref="BP31:BQ31"/>
    <mergeCell ref="BR31:BS31"/>
    <mergeCell ref="A33:BS33"/>
    <mergeCell ref="A34:H34"/>
    <mergeCell ref="I34:O34"/>
    <mergeCell ref="P34:AJ34"/>
    <mergeCell ref="AK34:BC34"/>
    <mergeCell ref="BD34:BS34"/>
    <mergeCell ref="A35:H35"/>
    <mergeCell ref="I35:O35"/>
    <mergeCell ref="P35:AJ35"/>
    <mergeCell ref="AK35:BC35"/>
    <mergeCell ref="BD35:BS35"/>
    <mergeCell ref="A36:O36"/>
    <mergeCell ref="P36:AO36"/>
    <mergeCell ref="AP36:BS36"/>
    <mergeCell ref="A37:O37"/>
    <mergeCell ref="P37:AO37"/>
    <mergeCell ref="AP37:BS37"/>
    <mergeCell ref="A39:AF39"/>
    <mergeCell ref="AG39:BS39"/>
    <mergeCell ref="A41:BR41"/>
  </mergeCells>
  <dataValidations count="1">
    <dataValidation allowBlank="true" errorStyle="stop" operator="between" showDropDown="false" showErrorMessage="true" showInputMessage="false" sqref="AZ3:BF3" type="date">
      <formula1>1</formula1>
      <formula2>55153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:E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1" min="1" style="0" width="1.13"/>
    <col collapsed="false" customWidth="true" hidden="false" outlineLevel="0" max="2" min="2" style="0" width="9.28"/>
    <col collapsed="false" customWidth="true" hidden="false" outlineLevel="0" max="3" min="3" style="0" width="6.56"/>
    <col collapsed="false" customWidth="true" hidden="false" outlineLevel="0" max="4" min="4" style="0" width="11.99"/>
    <col collapsed="false" customWidth="true" hidden="false" outlineLevel="0" max="6" min="6" style="0" width="17.7"/>
    <col collapsed="false" customWidth="true" hidden="false" outlineLevel="0" max="7" min="7" style="0" width="10.71"/>
    <col collapsed="false" customWidth="true" hidden="false" outlineLevel="0" max="8" min="8" style="0" width="13.7"/>
    <col collapsed="false" customWidth="true" hidden="false" outlineLevel="0" max="9" min="9" style="0" width="14.7"/>
    <col collapsed="false" customWidth="true" hidden="false" outlineLevel="0" max="10" min="10" style="0" width="15.99"/>
    <col collapsed="false" customWidth="true" hidden="false" outlineLevel="0" max="11" min="11" style="0" width="1.13"/>
  </cols>
  <sheetData>
    <row r="2" customFormat="false" ht="13.5" hidden="false" customHeight="false" outlineLevel="0" collapsed="false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</row>
    <row r="3" customFormat="false" ht="15" hidden="false" customHeight="false" outlineLevel="0" collapsed="false">
      <c r="A3" s="410"/>
      <c r="B3" s="411" t="s">
        <v>508</v>
      </c>
      <c r="C3" s="412"/>
      <c r="D3" s="413"/>
      <c r="E3" s="414" t="s">
        <v>509</v>
      </c>
      <c r="F3" s="415" t="s">
        <v>510</v>
      </c>
      <c r="G3" s="416" t="s">
        <v>511</v>
      </c>
      <c r="H3" s="417" t="n">
        <f aca="true">TODAY()</f>
        <v>46297</v>
      </c>
      <c r="I3" s="416" t="s">
        <v>512</v>
      </c>
      <c r="J3" s="418" t="s">
        <v>513</v>
      </c>
      <c r="K3" s="410"/>
    </row>
    <row r="4" customFormat="false" ht="15" hidden="false" customHeight="true" outlineLevel="0" collapsed="false">
      <c r="A4" s="410"/>
      <c r="B4" s="419"/>
      <c r="C4" s="420"/>
      <c r="D4" s="421"/>
      <c r="E4" s="422" t="s">
        <v>514</v>
      </c>
      <c r="F4" s="422"/>
      <c r="G4" s="422"/>
      <c r="H4" s="422"/>
      <c r="I4" s="422"/>
      <c r="J4" s="422"/>
      <c r="K4" s="410"/>
    </row>
    <row r="5" customFormat="false" ht="12.75" hidden="false" customHeight="true" outlineLevel="0" collapsed="false">
      <c r="A5" s="410"/>
      <c r="B5" s="419"/>
      <c r="C5" s="420"/>
      <c r="D5" s="421"/>
      <c r="E5" s="423" t="s">
        <v>515</v>
      </c>
      <c r="F5" s="423"/>
      <c r="G5" s="424" t="str">
        <f aca="false">+HC!A5</f>
        <v>AMENDAÑO</v>
      </c>
      <c r="H5" s="425" t="str">
        <f aca="false">+HC!O5</f>
        <v>COLLAGUAZO</v>
      </c>
      <c r="I5" s="425" t="str">
        <f aca="false">+HC!AC5</f>
        <v>LUZ</v>
      </c>
      <c r="J5" s="426" t="str">
        <f aca="false">+HC!AQ5</f>
        <v>EDELINA</v>
      </c>
      <c r="K5" s="410"/>
    </row>
    <row r="6" customFormat="false" ht="15.75" hidden="false" customHeight="false" outlineLevel="0" collapsed="false">
      <c r="A6" s="410"/>
      <c r="B6" s="419"/>
      <c r="C6" s="420"/>
      <c r="D6" s="421"/>
      <c r="E6" s="427" t="s">
        <v>516</v>
      </c>
      <c r="F6" s="428" t="str">
        <f aca="false">+HC!AH3</f>
        <v>1704289899</v>
      </c>
      <c r="G6" s="429" t="s">
        <v>517</v>
      </c>
      <c r="H6" s="430" t="str">
        <f aca="false">CONCATENATE(HC!Y47,"/",HC!Y48)</f>
        <v>/</v>
      </c>
      <c r="I6" s="431" t="s">
        <v>518</v>
      </c>
      <c r="J6" s="432" t="str">
        <f aca="false">+HC!AH3</f>
        <v>1704289899</v>
      </c>
      <c r="K6" s="410"/>
    </row>
    <row r="7" customFormat="false" ht="15.75" hidden="false" customHeight="true" outlineLevel="0" collapsed="false">
      <c r="A7" s="410"/>
      <c r="B7" s="433" t="s">
        <v>519</v>
      </c>
      <c r="C7" s="433"/>
      <c r="D7" s="433"/>
      <c r="E7" s="434" t="s">
        <v>520</v>
      </c>
      <c r="F7" s="435"/>
      <c r="G7" s="436" t="s">
        <v>521</v>
      </c>
      <c r="H7" s="437"/>
      <c r="I7" s="437"/>
      <c r="J7" s="437"/>
      <c r="K7" s="410"/>
    </row>
    <row r="8" customFormat="false" ht="15.75" hidden="false" customHeight="true" outlineLevel="0" collapsed="false">
      <c r="A8" s="410"/>
      <c r="B8" s="438" t="s">
        <v>522</v>
      </c>
      <c r="C8" s="438"/>
      <c r="D8" s="438"/>
      <c r="E8" s="439"/>
      <c r="F8" s="440"/>
      <c r="G8" s="441"/>
      <c r="H8" s="442"/>
      <c r="I8" s="442"/>
      <c r="J8" s="442"/>
      <c r="K8" s="410"/>
    </row>
    <row r="9" customFormat="false" ht="22.5" hidden="false" customHeight="true" outlineLevel="0" collapsed="false">
      <c r="A9" s="410"/>
      <c r="B9" s="443" t="s">
        <v>523</v>
      </c>
      <c r="C9" s="443"/>
      <c r="D9" s="443"/>
      <c r="E9" s="443"/>
      <c r="F9" s="443"/>
      <c r="G9" s="444" t="s">
        <v>524</v>
      </c>
      <c r="H9" s="444" t="s">
        <v>525</v>
      </c>
      <c r="I9" s="444" t="s">
        <v>526</v>
      </c>
      <c r="J9" s="445" t="s">
        <v>527</v>
      </c>
      <c r="K9" s="410"/>
    </row>
    <row r="10" customFormat="false" ht="27" hidden="false" customHeight="true" outlineLevel="0" collapsed="false">
      <c r="A10" s="410"/>
      <c r="B10" s="446"/>
      <c r="C10" s="446"/>
      <c r="D10" s="446"/>
      <c r="E10" s="446"/>
      <c r="F10" s="446"/>
      <c r="G10" s="447"/>
      <c r="H10" s="448"/>
      <c r="I10" s="449"/>
      <c r="J10" s="450"/>
      <c r="K10" s="410"/>
    </row>
    <row r="11" customFormat="false" ht="27" hidden="false" customHeight="true" outlineLevel="0" collapsed="false">
      <c r="A11" s="410"/>
      <c r="B11" s="446"/>
      <c r="C11" s="446"/>
      <c r="D11" s="446"/>
      <c r="E11" s="446"/>
      <c r="F11" s="446"/>
      <c r="G11" s="447"/>
      <c r="H11" s="448"/>
      <c r="I11" s="449"/>
      <c r="J11" s="450"/>
      <c r="K11" s="410"/>
    </row>
    <row r="12" customFormat="false" ht="27" hidden="false" customHeight="true" outlineLevel="0" collapsed="false">
      <c r="A12" s="410"/>
      <c r="B12" s="446"/>
      <c r="C12" s="446"/>
      <c r="D12" s="446"/>
      <c r="E12" s="446"/>
      <c r="F12" s="446"/>
      <c r="G12" s="447"/>
      <c r="H12" s="448"/>
      <c r="I12" s="449"/>
      <c r="J12" s="450"/>
      <c r="K12" s="410"/>
    </row>
    <row r="13" customFormat="false" ht="27" hidden="false" customHeight="true" outlineLevel="0" collapsed="false">
      <c r="A13" s="410"/>
      <c r="B13" s="446"/>
      <c r="C13" s="446"/>
      <c r="D13" s="446"/>
      <c r="E13" s="446"/>
      <c r="F13" s="446"/>
      <c r="G13" s="447"/>
      <c r="H13" s="448"/>
      <c r="I13" s="449"/>
      <c r="J13" s="450"/>
      <c r="K13" s="410"/>
    </row>
    <row r="14" customFormat="false" ht="27" hidden="false" customHeight="true" outlineLevel="0" collapsed="false">
      <c r="A14" s="410"/>
      <c r="B14" s="446"/>
      <c r="C14" s="446"/>
      <c r="D14" s="446"/>
      <c r="E14" s="446"/>
      <c r="F14" s="446"/>
      <c r="G14" s="447"/>
      <c r="H14" s="448"/>
      <c r="I14" s="449"/>
      <c r="J14" s="450"/>
      <c r="K14" s="410"/>
    </row>
    <row r="15" customFormat="false" ht="27" hidden="false" customHeight="true" outlineLevel="0" collapsed="false">
      <c r="A15" s="410"/>
      <c r="B15" s="446"/>
      <c r="C15" s="446"/>
      <c r="D15" s="446"/>
      <c r="E15" s="446"/>
      <c r="F15" s="446"/>
      <c r="G15" s="447"/>
      <c r="H15" s="448"/>
      <c r="I15" s="449"/>
      <c r="J15" s="450"/>
      <c r="K15" s="410"/>
      <c r="M15" s="451"/>
    </row>
    <row r="16" customFormat="false" ht="27" hidden="false" customHeight="true" outlineLevel="0" collapsed="false">
      <c r="A16" s="410"/>
      <c r="B16" s="446"/>
      <c r="C16" s="446"/>
      <c r="D16" s="446"/>
      <c r="E16" s="446"/>
      <c r="F16" s="446"/>
      <c r="G16" s="447"/>
      <c r="H16" s="448"/>
      <c r="I16" s="449"/>
      <c r="J16" s="450"/>
      <c r="K16" s="410"/>
      <c r="M16" s="451"/>
    </row>
    <row r="17" customFormat="false" ht="27" hidden="false" customHeight="true" outlineLevel="0" collapsed="false">
      <c r="A17" s="410"/>
      <c r="B17" s="446"/>
      <c r="C17" s="446"/>
      <c r="D17" s="446"/>
      <c r="E17" s="446"/>
      <c r="F17" s="446"/>
      <c r="G17" s="447"/>
      <c r="H17" s="448"/>
      <c r="I17" s="449"/>
      <c r="J17" s="450"/>
      <c r="K17" s="410"/>
    </row>
    <row r="18" customFormat="false" ht="15.75" hidden="false" customHeight="true" outlineLevel="0" collapsed="false">
      <c r="A18" s="410"/>
      <c r="B18" s="446"/>
      <c r="C18" s="446"/>
      <c r="D18" s="446"/>
      <c r="E18" s="446"/>
      <c r="F18" s="446"/>
      <c r="G18" s="447"/>
      <c r="H18" s="448"/>
      <c r="I18" s="449"/>
      <c r="J18" s="450"/>
      <c r="K18" s="410"/>
    </row>
    <row r="19" customFormat="false" ht="15" hidden="false" customHeight="true" outlineLevel="0" collapsed="false">
      <c r="A19" s="410"/>
      <c r="B19" s="452" t="s">
        <v>528</v>
      </c>
      <c r="C19" s="452"/>
      <c r="D19" s="452"/>
      <c r="E19" s="453" t="s">
        <v>529</v>
      </c>
      <c r="F19" s="453"/>
      <c r="G19" s="453"/>
      <c r="H19" s="453"/>
      <c r="I19" s="453"/>
      <c r="J19" s="453"/>
      <c r="K19" s="410"/>
    </row>
    <row r="20" customFormat="false" ht="13.5" hidden="false" customHeight="true" outlineLevel="0" collapsed="false">
      <c r="A20" s="410"/>
      <c r="B20" s="454" t="s">
        <v>530</v>
      </c>
      <c r="C20" s="455" t="s">
        <v>531</v>
      </c>
      <c r="D20" s="455"/>
      <c r="E20" s="455"/>
      <c r="F20" s="456" t="s">
        <v>532</v>
      </c>
      <c r="G20" s="456"/>
      <c r="H20" s="456"/>
      <c r="I20" s="456"/>
      <c r="J20" s="456"/>
      <c r="K20" s="410"/>
    </row>
    <row r="21" customFormat="false" ht="24.75" hidden="false" customHeight="true" outlineLevel="0" collapsed="false">
      <c r="A21" s="410"/>
      <c r="B21" s="454" t="s">
        <v>533</v>
      </c>
      <c r="C21" s="455" t="s">
        <v>168</v>
      </c>
      <c r="D21" s="455"/>
      <c r="E21" s="455"/>
      <c r="F21" s="456"/>
      <c r="G21" s="456"/>
      <c r="H21" s="456"/>
      <c r="I21" s="456"/>
      <c r="J21" s="456"/>
      <c r="K21" s="410"/>
    </row>
    <row r="22" customFormat="false" ht="13.5" hidden="false" customHeight="true" outlineLevel="0" collapsed="false">
      <c r="A22" s="410"/>
      <c r="B22" s="454" t="s">
        <v>534</v>
      </c>
      <c r="C22" s="457" t="n">
        <f aca="false">+HC!A63</f>
        <v>1756930234</v>
      </c>
      <c r="D22" s="457"/>
      <c r="E22" s="457"/>
      <c r="F22" s="456"/>
      <c r="G22" s="456"/>
      <c r="H22" s="456"/>
      <c r="I22" s="456"/>
      <c r="J22" s="456"/>
      <c r="K22" s="410"/>
    </row>
    <row r="23" customFormat="false" ht="13.5" hidden="false" customHeight="true" outlineLevel="0" collapsed="false">
      <c r="A23" s="410"/>
      <c r="B23" s="458"/>
      <c r="C23" s="458"/>
      <c r="D23" s="458"/>
      <c r="E23" s="458"/>
      <c r="F23" s="458"/>
      <c r="G23" s="458"/>
      <c r="H23" s="458"/>
      <c r="I23" s="458"/>
      <c r="J23" s="458"/>
      <c r="K23" s="410"/>
    </row>
    <row r="24" customFormat="false" ht="15" hidden="false" customHeight="true" outlineLevel="0" collapsed="false">
      <c r="A24" s="410"/>
      <c r="B24" s="459" t="s">
        <v>535</v>
      </c>
      <c r="C24" s="459"/>
      <c r="D24" s="459"/>
      <c r="E24" s="459"/>
      <c r="F24" s="459"/>
      <c r="G24" s="460" t="s">
        <v>512</v>
      </c>
      <c r="H24" s="461" t="str">
        <f aca="false">J3</f>
        <v>0001</v>
      </c>
      <c r="I24" s="461"/>
      <c r="J24" s="461"/>
      <c r="K24" s="410"/>
    </row>
    <row r="25" customFormat="false" ht="15" hidden="false" customHeight="true" outlineLevel="0" collapsed="false">
      <c r="A25" s="410"/>
      <c r="B25" s="462" t="s">
        <v>536</v>
      </c>
      <c r="C25" s="462"/>
      <c r="D25" s="463" t="str">
        <f aca="false">CONCATENATE(G5," ",H5," ",I5," ",J5)</f>
        <v>AMENDAÑO COLLAGUAZO LUZ EDELINA</v>
      </c>
      <c r="E25" s="464"/>
      <c r="F25" s="465"/>
      <c r="G25" s="466" t="s">
        <v>51</v>
      </c>
      <c r="H25" s="467" t="n">
        <f aca="false">+H3</f>
        <v>46297</v>
      </c>
      <c r="I25" s="467"/>
      <c r="J25" s="467"/>
      <c r="K25" s="410"/>
    </row>
    <row r="26" customFormat="false" ht="15" hidden="false" customHeight="true" outlineLevel="0" collapsed="false">
      <c r="A26" s="410"/>
      <c r="B26" s="468" t="s">
        <v>537</v>
      </c>
      <c r="C26" s="468"/>
      <c r="D26" s="468"/>
      <c r="E26" s="468"/>
      <c r="F26" s="468"/>
      <c r="G26" s="469" t="s">
        <v>524</v>
      </c>
      <c r="H26" s="469" t="s">
        <v>525</v>
      </c>
      <c r="I26" s="469" t="s">
        <v>526</v>
      </c>
      <c r="J26" s="470" t="s">
        <v>527</v>
      </c>
      <c r="K26" s="410"/>
    </row>
    <row r="27" customFormat="false" ht="27" hidden="false" customHeight="true" outlineLevel="0" collapsed="false">
      <c r="A27" s="410"/>
      <c r="B27" s="446" t="n">
        <f aca="false">+B10</f>
        <v>0</v>
      </c>
      <c r="C27" s="446"/>
      <c r="D27" s="446"/>
      <c r="E27" s="446"/>
      <c r="F27" s="446"/>
      <c r="G27" s="471" t="n">
        <f aca="false">G10</f>
        <v>0</v>
      </c>
      <c r="H27" s="472" t="n">
        <f aca="false">H10</f>
        <v>0</v>
      </c>
      <c r="I27" s="472" t="n">
        <f aca="false">I10</f>
        <v>0</v>
      </c>
      <c r="J27" s="473" t="n">
        <f aca="false">J10</f>
        <v>0</v>
      </c>
      <c r="K27" s="410"/>
    </row>
    <row r="28" customFormat="false" ht="27" hidden="false" customHeight="true" outlineLevel="0" collapsed="false">
      <c r="A28" s="410"/>
      <c r="B28" s="446" t="n">
        <f aca="false">+B11</f>
        <v>0</v>
      </c>
      <c r="C28" s="446"/>
      <c r="D28" s="446"/>
      <c r="E28" s="446"/>
      <c r="F28" s="446"/>
      <c r="G28" s="471" t="n">
        <f aca="false">G11</f>
        <v>0</v>
      </c>
      <c r="H28" s="472" t="n">
        <f aca="false">H11</f>
        <v>0</v>
      </c>
      <c r="I28" s="472" t="n">
        <f aca="false">I11</f>
        <v>0</v>
      </c>
      <c r="J28" s="473" t="n">
        <f aca="false">J11</f>
        <v>0</v>
      </c>
      <c r="K28" s="410"/>
    </row>
    <row r="29" customFormat="false" ht="27" hidden="false" customHeight="true" outlineLevel="0" collapsed="false">
      <c r="A29" s="410"/>
      <c r="B29" s="446" t="n">
        <f aca="false">+B12</f>
        <v>0</v>
      </c>
      <c r="C29" s="446"/>
      <c r="D29" s="446"/>
      <c r="E29" s="446"/>
      <c r="F29" s="446"/>
      <c r="G29" s="471" t="n">
        <f aca="false">G12</f>
        <v>0</v>
      </c>
      <c r="H29" s="472" t="n">
        <f aca="false">H12</f>
        <v>0</v>
      </c>
      <c r="I29" s="472" t="n">
        <f aca="false">I12</f>
        <v>0</v>
      </c>
      <c r="J29" s="473" t="n">
        <f aca="false">J12</f>
        <v>0</v>
      </c>
      <c r="K29" s="410"/>
    </row>
    <row r="30" customFormat="false" ht="27" hidden="false" customHeight="true" outlineLevel="0" collapsed="false">
      <c r="A30" s="410"/>
      <c r="B30" s="446" t="n">
        <f aca="false">+B13</f>
        <v>0</v>
      </c>
      <c r="C30" s="446"/>
      <c r="D30" s="446"/>
      <c r="E30" s="446"/>
      <c r="F30" s="446"/>
      <c r="G30" s="471" t="n">
        <f aca="false">G13</f>
        <v>0</v>
      </c>
      <c r="H30" s="472" t="n">
        <f aca="false">H13</f>
        <v>0</v>
      </c>
      <c r="I30" s="472" t="n">
        <f aca="false">I13</f>
        <v>0</v>
      </c>
      <c r="J30" s="473" t="n">
        <f aca="false">J13</f>
        <v>0</v>
      </c>
      <c r="K30" s="410"/>
    </row>
    <row r="31" customFormat="false" ht="27" hidden="false" customHeight="true" outlineLevel="0" collapsed="false">
      <c r="A31" s="410"/>
      <c r="B31" s="446" t="n">
        <f aca="false">+B14</f>
        <v>0</v>
      </c>
      <c r="C31" s="446"/>
      <c r="D31" s="446"/>
      <c r="E31" s="446"/>
      <c r="F31" s="446"/>
      <c r="G31" s="471" t="n">
        <f aca="false">G14</f>
        <v>0</v>
      </c>
      <c r="H31" s="472" t="n">
        <f aca="false">H14</f>
        <v>0</v>
      </c>
      <c r="I31" s="472" t="n">
        <f aca="false">I14</f>
        <v>0</v>
      </c>
      <c r="J31" s="473" t="n">
        <f aca="false">J14</f>
        <v>0</v>
      </c>
      <c r="K31" s="410"/>
    </row>
    <row r="32" customFormat="false" ht="27" hidden="false" customHeight="true" outlineLevel="0" collapsed="false">
      <c r="A32" s="410"/>
      <c r="B32" s="446" t="n">
        <f aca="false">+B15</f>
        <v>0</v>
      </c>
      <c r="C32" s="446"/>
      <c r="D32" s="446"/>
      <c r="E32" s="446"/>
      <c r="F32" s="446"/>
      <c r="G32" s="471" t="n">
        <f aca="false">G15</f>
        <v>0</v>
      </c>
      <c r="H32" s="472" t="n">
        <f aca="false">H15</f>
        <v>0</v>
      </c>
      <c r="I32" s="472" t="n">
        <f aca="false">I15</f>
        <v>0</v>
      </c>
      <c r="J32" s="473" t="n">
        <f aca="false">J15</f>
        <v>0</v>
      </c>
      <c r="K32" s="410"/>
    </row>
    <row r="33" customFormat="false" ht="27" hidden="false" customHeight="true" outlineLevel="0" collapsed="false">
      <c r="A33" s="410"/>
      <c r="B33" s="446"/>
      <c r="C33" s="446"/>
      <c r="D33" s="446"/>
      <c r="E33" s="446"/>
      <c r="F33" s="446"/>
      <c r="G33" s="471" t="n">
        <f aca="false">G16</f>
        <v>0</v>
      </c>
      <c r="H33" s="472" t="n">
        <f aca="false">H16</f>
        <v>0</v>
      </c>
      <c r="I33" s="472" t="n">
        <f aca="false">I16</f>
        <v>0</v>
      </c>
      <c r="J33" s="473" t="n">
        <f aca="false">J16</f>
        <v>0</v>
      </c>
      <c r="K33" s="410"/>
    </row>
    <row r="34" customFormat="false" ht="27" hidden="false" customHeight="true" outlineLevel="0" collapsed="false">
      <c r="A34" s="410"/>
      <c r="B34" s="446"/>
      <c r="C34" s="446"/>
      <c r="D34" s="446"/>
      <c r="E34" s="446"/>
      <c r="F34" s="446"/>
      <c r="G34" s="471" t="n">
        <f aca="false">G17</f>
        <v>0</v>
      </c>
      <c r="H34" s="472" t="n">
        <f aca="false">H17</f>
        <v>0</v>
      </c>
      <c r="I34" s="472" t="n">
        <f aca="false">I17</f>
        <v>0</v>
      </c>
      <c r="J34" s="473" t="n">
        <f aca="false">J17</f>
        <v>0</v>
      </c>
      <c r="K34" s="410"/>
    </row>
    <row r="35" customFormat="false" ht="27" hidden="false" customHeight="true" outlineLevel="0" collapsed="false">
      <c r="A35" s="410"/>
      <c r="B35" s="474" t="s">
        <v>538</v>
      </c>
      <c r="C35" s="474"/>
      <c r="D35" s="474"/>
      <c r="E35" s="474"/>
      <c r="F35" s="474"/>
      <c r="G35" s="474"/>
      <c r="H35" s="474"/>
      <c r="I35" s="474"/>
      <c r="J35" s="474"/>
      <c r="K35" s="410"/>
    </row>
    <row r="36" customFormat="false" ht="15" hidden="false" customHeight="true" outlineLevel="0" collapsed="false">
      <c r="A36" s="410"/>
      <c r="B36" s="452" t="s">
        <v>528</v>
      </c>
      <c r="C36" s="452"/>
      <c r="D36" s="452"/>
      <c r="E36" s="453" t="s">
        <v>529</v>
      </c>
      <c r="F36" s="453"/>
      <c r="G36" s="453"/>
      <c r="H36" s="453"/>
      <c r="I36" s="453"/>
      <c r="J36" s="453"/>
      <c r="K36" s="410"/>
    </row>
    <row r="37" customFormat="false" ht="13.5" hidden="false" customHeight="true" outlineLevel="0" collapsed="false">
      <c r="A37" s="410"/>
      <c r="B37" s="454" t="s">
        <v>530</v>
      </c>
      <c r="C37" s="475" t="str">
        <f aca="false">+C20</f>
        <v>DR. FRANK MEDINA</v>
      </c>
      <c r="D37" s="475"/>
      <c r="E37" s="475"/>
      <c r="F37" s="456" t="s">
        <v>532</v>
      </c>
      <c r="G37" s="456"/>
      <c r="H37" s="456"/>
      <c r="I37" s="456"/>
      <c r="J37" s="456"/>
      <c r="K37" s="410"/>
    </row>
    <row r="38" customFormat="false" ht="24.75" hidden="false" customHeight="true" outlineLevel="0" collapsed="false">
      <c r="A38" s="410"/>
      <c r="B38" s="454" t="s">
        <v>533</v>
      </c>
      <c r="C38" s="476" t="str">
        <f aca="false">+C21</f>
        <v>ENDOCRINOLOGIA</v>
      </c>
      <c r="D38" s="476"/>
      <c r="E38" s="476"/>
      <c r="F38" s="456"/>
      <c r="G38" s="456"/>
      <c r="H38" s="456"/>
      <c r="I38" s="456"/>
      <c r="J38" s="456"/>
      <c r="K38" s="410"/>
    </row>
    <row r="39" customFormat="false" ht="13.5" hidden="false" customHeight="true" outlineLevel="0" collapsed="false">
      <c r="A39" s="410"/>
      <c r="B39" s="454" t="s">
        <v>534</v>
      </c>
      <c r="C39" s="477" t="n">
        <f aca="false">+C22</f>
        <v>1756930234</v>
      </c>
      <c r="D39" s="477"/>
      <c r="E39" s="477"/>
      <c r="F39" s="456"/>
      <c r="G39" s="456"/>
      <c r="H39" s="456"/>
      <c r="I39" s="456"/>
      <c r="J39" s="456"/>
      <c r="K39" s="410"/>
    </row>
    <row r="40" customFormat="false" ht="12.75" hidden="false" customHeight="false" outlineLevel="0" collapsed="false">
      <c r="A40" s="410"/>
      <c r="B40" s="410"/>
      <c r="C40" s="410"/>
      <c r="D40" s="410"/>
      <c r="E40" s="410"/>
      <c r="F40" s="410"/>
      <c r="G40" s="410"/>
      <c r="H40" s="410"/>
      <c r="I40" s="410"/>
      <c r="J40" s="410"/>
      <c r="K40" s="410"/>
    </row>
  </sheetData>
  <mergeCells count="42">
    <mergeCell ref="E4:J4"/>
    <mergeCell ref="E5:F5"/>
    <mergeCell ref="B7:D7"/>
    <mergeCell ref="H7:J7"/>
    <mergeCell ref="B8:D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D19"/>
    <mergeCell ref="E19:J19"/>
    <mergeCell ref="C20:E20"/>
    <mergeCell ref="F20:J22"/>
    <mergeCell ref="C21:E21"/>
    <mergeCell ref="C22:E22"/>
    <mergeCell ref="B23:J23"/>
    <mergeCell ref="B24:F24"/>
    <mergeCell ref="H24:J24"/>
    <mergeCell ref="B25:C25"/>
    <mergeCell ref="H25:J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J35"/>
    <mergeCell ref="B36:D36"/>
    <mergeCell ref="E36:J36"/>
    <mergeCell ref="C37:E37"/>
    <mergeCell ref="F37:J39"/>
    <mergeCell ref="C38:E38"/>
    <mergeCell ref="C39:E3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2006-09-05T12:06:05Z</dcterms:created>
  <dc:creator>User</dc:creator>
  <dc:description/>
  <dc:language>en-US</dc:language>
  <cp:lastModifiedBy>User</cp:lastModifiedBy>
  <cp:lastPrinted>2026-08-18T21:36:20Z</cp:lastPrinted>
  <dcterms:modified xsi:type="dcterms:W3CDTF">2026-10-01T16:10:57Z</dcterms:modified>
  <cp:revision>0</cp:revision>
  <dc:subject/>
  <dc:title/>
</cp:coreProperties>
</file>